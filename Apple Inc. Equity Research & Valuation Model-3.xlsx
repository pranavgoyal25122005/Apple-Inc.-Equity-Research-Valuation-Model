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xr:revisionPtr revIDLastSave="0" documentId="8_{0C73E328-0CED-4C58-B2F3-81A400D40BF8}" xr6:coauthVersionLast="47" xr6:coauthVersionMax="47" xr10:uidLastSave="{00000000-0000-0000-0000-000000000000}"/>
  <bookViews>
    <workbookView xWindow="240" yWindow="105" windowWidth="14805" windowHeight="8010" firstSheet="9" activeTab="4" xr2:uid="{00000000-000D-0000-FFFF-FFFF00000000}"/>
  </bookViews>
  <sheets>
    <sheet name="Cover" sheetId="1" r:id="rId1"/>
    <sheet name="Dashboard" sheetId="2" r:id="rId2"/>
    <sheet name="Historical Financial Statements" sheetId="3" r:id="rId3"/>
    <sheet name="Revenue Segmentation" sheetId="5" r:id="rId4"/>
    <sheet name="Assumptions" sheetId="4" r:id="rId5"/>
    <sheet name="Financial Forecast Model" sheetId="6" r:id="rId6"/>
    <sheet name="DCF Valuation" sheetId="7" r:id="rId7"/>
    <sheet name="Comparable Company Analysis" sheetId="8" r:id="rId8"/>
    <sheet name="Precedent Transactions" sheetId="9" r:id="rId9"/>
    <sheet name="Risks &amp; Scenario Analysi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7" l="1"/>
  <c r="D25" i="7"/>
  <c r="E14" i="5"/>
  <c r="G14" i="5"/>
  <c r="C14" i="5"/>
  <c r="H14" i="3"/>
  <c r="J14" i="3"/>
  <c r="H16" i="3"/>
  <c r="J16" i="3"/>
  <c r="F14" i="3"/>
  <c r="F16" i="3"/>
  <c r="H10" i="3"/>
  <c r="J10" i="3"/>
  <c r="H11" i="3"/>
  <c r="J11" i="3"/>
  <c r="F10" i="3"/>
  <c r="F11" i="3"/>
  <c r="H6" i="3"/>
  <c r="J6" i="3"/>
  <c r="F6" i="3"/>
  <c r="H44" i="3"/>
  <c r="J44" i="3"/>
  <c r="H47" i="3"/>
  <c r="J47" i="3"/>
  <c r="F44" i="3"/>
  <c r="F47" i="3"/>
  <c r="H25" i="3"/>
  <c r="J25" i="3"/>
  <c r="H29" i="3"/>
  <c r="J29" i="3"/>
  <c r="H33" i="3"/>
  <c r="J33" i="3"/>
  <c r="H34" i="3"/>
  <c r="J34" i="3"/>
  <c r="H35" i="3"/>
  <c r="J35" i="3"/>
  <c r="F25" i="3"/>
  <c r="F29" i="3"/>
  <c r="F33" i="3"/>
  <c r="F34" i="3"/>
  <c r="F35" i="3"/>
  <c r="B100" i="7"/>
  <c r="B101" i="7"/>
  <c r="E30" i="5"/>
  <c r="E101" i="5" s="1"/>
  <c r="E31" i="5"/>
  <c r="E102" i="5" s="1"/>
  <c r="E32" i="5"/>
  <c r="E103" i="5" s="1"/>
  <c r="E34" i="5"/>
  <c r="E104" i="5" s="1"/>
  <c r="E29" i="5"/>
  <c r="E100" i="5" s="1"/>
  <c r="C104" i="8"/>
  <c r="C103" i="8"/>
  <c r="C102" i="8"/>
  <c r="C105" i="8"/>
  <c r="H30" i="8"/>
  <c r="H31" i="8"/>
  <c r="H32" i="8"/>
  <c r="H33" i="8"/>
  <c r="N31" i="2"/>
  <c r="N33" i="2"/>
  <c r="N29" i="2"/>
  <c r="C18" i="9"/>
  <c r="C28" i="9" s="1"/>
  <c r="E28" i="9" s="1"/>
  <c r="G28" i="9" s="1"/>
  <c r="I28" i="9" s="1"/>
  <c r="C103" i="9" s="1"/>
  <c r="E18" i="9"/>
  <c r="C17" i="9"/>
  <c r="C27" i="9" s="1"/>
  <c r="E27" i="9" s="1"/>
  <c r="G27" i="9" s="1"/>
  <c r="I27" i="9" s="1"/>
  <c r="E17" i="9"/>
  <c r="E30" i="8"/>
  <c r="F30" i="8"/>
  <c r="E31" i="8"/>
  <c r="F31" i="8"/>
  <c r="F32" i="8"/>
  <c r="E32" i="8" s="1"/>
  <c r="L39" i="8"/>
  <c r="F22" i="8"/>
  <c r="F21" i="8"/>
  <c r="F20" i="8"/>
  <c r="F19" i="8"/>
  <c r="F18" i="8"/>
  <c r="J21" i="8"/>
  <c r="J20" i="8"/>
  <c r="J19" i="8"/>
  <c r="J18" i="8"/>
  <c r="K21" i="8"/>
  <c r="K20" i="8"/>
  <c r="K19" i="8"/>
  <c r="K18" i="8"/>
  <c r="E22" i="8"/>
  <c r="D22" i="8"/>
  <c r="J12" i="8"/>
  <c r="D21" i="8"/>
  <c r="E21" i="8"/>
  <c r="E11" i="8"/>
  <c r="J11" i="8"/>
  <c r="E20" i="8"/>
  <c r="D20" i="8"/>
  <c r="D19" i="8"/>
  <c r="E19" i="8"/>
  <c r="D18" i="8"/>
  <c r="E18" i="8"/>
  <c r="N35" i="2"/>
  <c r="D29" i="7"/>
  <c r="L11" i="7"/>
  <c r="J11" i="7"/>
  <c r="G11" i="7"/>
  <c r="E11" i="7"/>
  <c r="C11" i="7"/>
  <c r="M29" i="7"/>
  <c r="M24" i="7"/>
  <c r="D17" i="7"/>
  <c r="D20" i="7" s="1"/>
  <c r="D22" i="7" s="1"/>
  <c r="E12" i="7"/>
  <c r="G12" i="7"/>
  <c r="J12" i="7"/>
  <c r="L12" i="7"/>
  <c r="C12" i="7"/>
  <c r="M16" i="7" s="1"/>
  <c r="M18" i="7" s="1"/>
  <c r="E21" i="6"/>
  <c r="G21" i="6"/>
  <c r="I21" i="6"/>
  <c r="K21" i="6"/>
  <c r="M21" i="6"/>
  <c r="G15" i="6"/>
  <c r="I15" i="6"/>
  <c r="K15" i="6"/>
  <c r="M15" i="6"/>
  <c r="E15" i="6"/>
  <c r="E6" i="6"/>
  <c r="G6" i="6"/>
  <c r="I6" i="6"/>
  <c r="K6" i="6"/>
  <c r="M6" i="6"/>
  <c r="C102" i="9" l="1"/>
  <c r="I29" i="9"/>
  <c r="C104" i="9" s="1"/>
  <c r="K36" i="9"/>
  <c r="F7" i="3"/>
  <c r="J7" i="3"/>
  <c r="H7" i="3"/>
  <c r="E35" i="5" l="1"/>
  <c r="F17" i="3"/>
  <c r="F12" i="3"/>
  <c r="H12" i="3"/>
  <c r="J12" i="3"/>
  <c r="J17" i="3" l="1"/>
  <c r="H17" i="3"/>
</calcChain>
</file>

<file path=xl/sharedStrings.xml><?xml version="1.0" encoding="utf-8"?>
<sst xmlns="http://schemas.openxmlformats.org/spreadsheetml/2006/main" count="402" uniqueCount="309">
  <si>
    <t>APPLE INC.</t>
  </si>
  <si>
    <t>EQUITY RESEARCH AND VALUATION MODEL</t>
  </si>
  <si>
    <t>Investment Banking &amp; Equity Research Project</t>
  </si>
  <si>
    <t>PREPARED BY:</t>
  </si>
  <si>
    <t>PRANAV GOYAL</t>
  </si>
  <si>
    <t>DCF VALUATION</t>
  </si>
  <si>
    <t>COMPARABLE ANALYSIS</t>
  </si>
  <si>
    <t xml:space="preserve">FINANCIAL MODELLING </t>
  </si>
  <si>
    <t xml:space="preserve">EQUITY RESEARCH </t>
  </si>
  <si>
    <r>
      <rPr>
        <b/>
        <sz val="24"/>
        <color rgb="FFFFFFFF"/>
        <rFont val="Calibri"/>
      </rPr>
      <t xml:space="preserve">         APPLE INC. - EQUITY RESEARCH DASHBOARD 
</t>
    </r>
    <r>
      <rPr>
        <sz val="11"/>
        <color rgb="FFFFFFFF"/>
        <rFont val="Calibri"/>
      </rPr>
      <t xml:space="preserve">           All values in USD unless stated otherwise</t>
    </r>
  </si>
  <si>
    <t>CURRENT SHARE PRICE</t>
  </si>
  <si>
    <t xml:space="preserve">TARGET PRICE </t>
  </si>
  <si>
    <t>UPSIDE/DOWNSIDE</t>
  </si>
  <si>
    <t>RECOMMENDATION</t>
  </si>
  <si>
    <t>DOWNSIDE (25.6%)</t>
  </si>
  <si>
    <t>HOLD / NEUTRAL</t>
  </si>
  <si>
    <t>MARKET CAPITALIZATION (USD Tn)</t>
  </si>
  <si>
    <t>ENTERPRISE VALUE (USD Bn)</t>
  </si>
  <si>
    <t>52 Week HIGH/LOW</t>
  </si>
  <si>
    <t>BETA (vs S&amp;P 500)</t>
  </si>
  <si>
    <t>$311.4 / $193.46</t>
  </si>
  <si>
    <t>REVENUE GROWTH (USD BILLIONS)</t>
  </si>
  <si>
    <t>EBITDA MARGIN (%)</t>
  </si>
  <si>
    <t xml:space="preserve">KEY FINANCIAL METRICS </t>
  </si>
  <si>
    <t xml:space="preserve">VALUATION SUMMARY </t>
  </si>
  <si>
    <t>METRIC</t>
  </si>
  <si>
    <t>FY2022</t>
  </si>
  <si>
    <t>FY2023</t>
  </si>
  <si>
    <t>FY2024</t>
  </si>
  <si>
    <t>FY2025</t>
  </si>
  <si>
    <t>FY2026E</t>
  </si>
  <si>
    <t>VALUATION METHOD</t>
  </si>
  <si>
    <t>IMPLIED PRICE(USD)</t>
  </si>
  <si>
    <t xml:space="preserve"> WEIGHT </t>
  </si>
  <si>
    <t>WEIGHTED PRICE(USD)</t>
  </si>
  <si>
    <t>Revenue (USD Bn)</t>
  </si>
  <si>
    <t>DISCOUNTED CASH
 FLOW (DCF)</t>
  </si>
  <si>
    <t xml:space="preserve">
50%
</t>
  </si>
  <si>
    <t>EBITDA (USD Bn)</t>
  </si>
  <si>
    <t>EBITDA Margin (%)</t>
  </si>
  <si>
    <t>COMPARABLE 
COMPANIES</t>
  </si>
  <si>
    <t xml:space="preserve">
30%
</t>
  </si>
  <si>
    <t>Net Income (USD Bn)</t>
  </si>
  <si>
    <t>EPS (USD)</t>
  </si>
  <si>
    <t>PRECEDENT 
TRANSACTIONS</t>
  </si>
  <si>
    <t xml:space="preserve">
20%
</t>
  </si>
  <si>
    <t>Free Cash Flow (USD Bn)</t>
  </si>
  <si>
    <t>AVERAGE IMPLIED WEIGHTED PRICE</t>
  </si>
  <si>
    <r>
      <rPr>
        <b/>
        <sz val="11"/>
        <color rgb="FF002060"/>
        <rFont val="Calibri"/>
      </rPr>
      <t xml:space="preserve">INVESTMENT THESIS
</t>
    </r>
    <r>
      <rPr>
        <b/>
        <sz val="11"/>
        <color rgb="FF000000"/>
        <rFont val="Calibri"/>
      </rPr>
      <t>•</t>
    </r>
    <r>
      <rPr>
        <sz val="11"/>
        <color rgb="FF000000"/>
        <rFont val="Calibri"/>
      </rPr>
      <t xml:space="preserve">  Strong global brand and loyal customer ecosystem
•  Growing high-margin Services business driving recurring revenue
•  Strong free cash flow generation and continuous product innovation
</t>
    </r>
  </si>
  <si>
    <r>
      <rPr>
        <b/>
        <sz val="11"/>
        <color rgb="FF002060"/>
        <rFont val="Calibri"/>
      </rPr>
      <t xml:space="preserve">KEY RISKS
</t>
    </r>
    <r>
      <rPr>
        <sz val="11"/>
        <color rgb="FF000000"/>
        <rFont val="Calibri"/>
      </rPr>
      <t>• Weak consumer demand affecting hardware sales 
•  Regulatory and antitrust pressures on App Store and ecosystem
•  Supply chain and geopolitical risks, especially related to China</t>
    </r>
  </si>
  <si>
    <t>APPLE INC. -  HISTORICAL FINANCIAL STATEMENTS</t>
  </si>
  <si>
    <t>( USD in Billions except per share data )</t>
  </si>
  <si>
    <t xml:space="preserve">INCOME STATEMENT </t>
  </si>
  <si>
    <t>FY2023A</t>
  </si>
  <si>
    <t>FY2024A</t>
  </si>
  <si>
    <t>FY2025A</t>
  </si>
  <si>
    <t>REVENUE</t>
  </si>
  <si>
    <t xml:space="preserve">COST OF GOODS </t>
  </si>
  <si>
    <t>GROSS PROFIT</t>
  </si>
  <si>
    <t>GROSS MARGIN</t>
  </si>
  <si>
    <t>RESEARCH AND DEVELOPMENT (R&amp;D)</t>
  </si>
  <si>
    <t>SELLING,GENERAL &amp; ADMINISTRATIVE (SG&amp;A)</t>
  </si>
  <si>
    <t>OPERATING EXPENSE</t>
  </si>
  <si>
    <t>OPERATING INCOME</t>
  </si>
  <si>
    <t>OPERATING MARGIN</t>
  </si>
  <si>
    <t>OTHER INCOME/EXPENSE (NET)</t>
  </si>
  <si>
    <t>PRE-TAX INCOME</t>
  </si>
  <si>
    <t>PROVISION FOR INCOME TAXES</t>
  </si>
  <si>
    <t>NET INCOME</t>
  </si>
  <si>
    <t>NET MARGIN</t>
  </si>
  <si>
    <t>DILUTED EPS (USD)</t>
  </si>
  <si>
    <t>BALANCE SHEET</t>
  </si>
  <si>
    <t>CASH AND CASH EQUIVALENTS</t>
  </si>
  <si>
    <t xml:space="preserve">ACCOUNTS RECEIVABLE </t>
  </si>
  <si>
    <t>INVENTORY</t>
  </si>
  <si>
    <t>OTHER CURRENT ASSETS</t>
  </si>
  <si>
    <t xml:space="preserve">TOTAL CURRENT ASSETS </t>
  </si>
  <si>
    <t>PROPERTY, PLANT &amp; EQUIPMENT (PP&amp;E)</t>
  </si>
  <si>
    <t xml:space="preserve">MARKETABLE SECURTIES </t>
  </si>
  <si>
    <t xml:space="preserve">OTHER NON CURRENT ASSETS </t>
  </si>
  <si>
    <t>TOTAL ASSETS</t>
  </si>
  <si>
    <t>TOTAL DEBT</t>
  </si>
  <si>
    <t xml:space="preserve">ACCOUNTS PAYABLE </t>
  </si>
  <si>
    <t>OTHER LIABILITES</t>
  </si>
  <si>
    <t>TOTAL LIABILITIES</t>
  </si>
  <si>
    <t xml:space="preserve">SHAREHOLDERS EQUITY </t>
  </si>
  <si>
    <t xml:space="preserve">TOTAL LIABILITIES &amp; SHAREHOLDERS EQUITY </t>
  </si>
  <si>
    <t>CASH FLOW STATEMENT</t>
  </si>
  <si>
    <t xml:space="preserve">DEPRECIATION &amp; AMORTIZATION </t>
  </si>
  <si>
    <t>STOCK BASED COMPENSATION</t>
  </si>
  <si>
    <t>CHANGE IN WORKING CAPITAL</t>
  </si>
  <si>
    <t>CASH FLOW FROM OPERATIONS (CFO)</t>
  </si>
  <si>
    <t>CAPITAL EXPENDITURE (CAPEX)</t>
  </si>
  <si>
    <t>FREE CASH FLOW</t>
  </si>
  <si>
    <t>INVESTING CASH FLOW</t>
  </si>
  <si>
    <t>FINANCING CASH FLOW</t>
  </si>
  <si>
    <t xml:space="preserve">NET CHANGE IN CASH </t>
  </si>
  <si>
    <t>CASH AND CASH EQUIVALENTS (END OF YEAR)</t>
  </si>
  <si>
    <t xml:space="preserve">APPLE INC. - SEGMENT ANALYSIS </t>
  </si>
  <si>
    <t>(All figures in USD Billions)</t>
  </si>
  <si>
    <t>HISTORICAL SEGMENT REVENUE(USD Bn)</t>
  </si>
  <si>
    <t>FY2025 REVENUE MIX</t>
  </si>
  <si>
    <t>SEGMENT</t>
  </si>
  <si>
    <t>iPHONE</t>
  </si>
  <si>
    <t>MAC</t>
  </si>
  <si>
    <t>iPAD</t>
  </si>
  <si>
    <t>WEARABLES, HOMES AND ACCESSORIES</t>
  </si>
  <si>
    <t>SERVICES</t>
  </si>
  <si>
    <t xml:space="preserve">TOTAL REVENUE </t>
  </si>
  <si>
    <t>SEGMENT GROWTH RATES (%)</t>
  </si>
  <si>
    <t xml:space="preserve">SEGMENT </t>
  </si>
  <si>
    <t>FY2024 GROWTH</t>
  </si>
  <si>
    <t>FY2025 GROWTH</t>
  </si>
  <si>
    <t>WEARABLES, HOMES AND
 ACCESSORIES</t>
  </si>
  <si>
    <t xml:space="preserve">KEY INSIGHTS </t>
  </si>
  <si>
    <t>• iPhone remains Apple’s largest revenue contributor, accounting for over 50% of total revenue in FY2025.
 • Services is the fastest-growing segment, supported by recurring subscription revenue, App Store monetization and ecosystem expansion.
• Wearables, Home &amp; Accessories strengthens Apple’s ecosystem and increases customer retention across devices.
• Apple continues to generate strong cash flow due to premium pricing, brand strength and operational efficiency.</t>
  </si>
  <si>
    <t>REVENUE MIX ( % OF TOTAL REVENUE ) - FY 2025</t>
  </si>
  <si>
    <t>FY2025 MIX</t>
  </si>
  <si>
    <r>
      <rPr>
        <b/>
        <sz val="11"/>
        <color rgb="FF000000"/>
        <rFont val="Calibri"/>
        <scheme val="minor"/>
      </rPr>
      <t>TOTAL</t>
    </r>
    <r>
      <rPr>
        <sz val="11"/>
        <color rgb="FF000000"/>
        <rFont val="Calibri"/>
        <scheme val="minor"/>
      </rPr>
      <t xml:space="preserve"> </t>
    </r>
  </si>
  <si>
    <t xml:space="preserve"> APPLE INC. - KEY ASSUMPTIONS </t>
  </si>
  <si>
    <t>(All figures in USD except per share data)</t>
  </si>
  <si>
    <t>FY2027E</t>
  </si>
  <si>
    <t>FY2028E</t>
  </si>
  <si>
    <t>FY2029E</t>
  </si>
  <si>
    <t>FY2030E</t>
  </si>
  <si>
    <t>REVENUE ASSUMPTIONS</t>
  </si>
  <si>
    <t>REVENUE CAGR</t>
  </si>
  <si>
    <t>iPHONE GROWTH</t>
  </si>
  <si>
    <t>MAC GROWTH</t>
  </si>
  <si>
    <t>iPAD GROWTH</t>
  </si>
  <si>
    <t>WEARABLES GROWTH</t>
  </si>
  <si>
    <t xml:space="preserve">SERVICES GROWTH </t>
  </si>
  <si>
    <t>MARGIN ASSUMPTIONS</t>
  </si>
  <si>
    <t>EBITDA MARGIN</t>
  </si>
  <si>
    <t>OPERATING  ASSUMPTIONS</t>
  </si>
  <si>
    <t>EFFECTIVE TAX RATE</t>
  </si>
  <si>
    <t xml:space="preserve">CAPEX% OF REVENUE </t>
  </si>
  <si>
    <t>DEPRECIATION AND AMORTIZATION%
 OF REVENUE</t>
  </si>
  <si>
    <t xml:space="preserve">WORKING CAPITAL% OF REVENUE </t>
  </si>
  <si>
    <t xml:space="preserve">DCF ASSUMPTIONS </t>
  </si>
  <si>
    <t xml:space="preserve">RISK FREE RATE </t>
  </si>
  <si>
    <t>EQUITY RISK PREMIUM</t>
  </si>
  <si>
    <t>BETA</t>
  </si>
  <si>
    <t>COST OF EQUITY(CAPM)</t>
  </si>
  <si>
    <t xml:space="preserve">COST OF DEBT </t>
  </si>
  <si>
    <t>TAX RATE ( FOR WACC)</t>
  </si>
  <si>
    <t>WACC</t>
  </si>
  <si>
    <t xml:space="preserve">TERMINAL GROWTH RATE </t>
  </si>
  <si>
    <t>SCENARIO ANALYSIS
(For Sensitivity)</t>
  </si>
  <si>
    <t>SCENARIO</t>
  </si>
  <si>
    <t>REVENUE GROWTH (Long Term)</t>
  </si>
  <si>
    <t>OPERATION MARGIN  (Long Term)</t>
  </si>
  <si>
    <t>BULL CASE</t>
  </si>
  <si>
    <t>BASE CASE</t>
  </si>
  <si>
    <t xml:space="preserve">BEAR CASE </t>
  </si>
  <si>
    <t xml:space="preserve">APPLE INC. - FINANCIAL FORECAST MODEL </t>
  </si>
  <si>
    <t>(All figures in USD Bn , except per share data)</t>
  </si>
  <si>
    <t xml:space="preserve">REVENUE FORECAST </t>
  </si>
  <si>
    <t xml:space="preserve">REVENUE </t>
  </si>
  <si>
    <t xml:space="preserve"> REVENUE GROWTH( % )</t>
  </si>
  <si>
    <t>PROFITABILITY FORECAST</t>
  </si>
  <si>
    <t>OPERATING PROFIT</t>
  </si>
  <si>
    <t>EBITDA</t>
  </si>
  <si>
    <t xml:space="preserve">NET PROFIT </t>
  </si>
  <si>
    <t>DILUTED SHARES OUTSTANDING</t>
  </si>
  <si>
    <t>EPS( USD )</t>
  </si>
  <si>
    <t>CASH FLOW FORECAST</t>
  </si>
  <si>
    <t>DEPRECIATION AND AMORTIZATION</t>
  </si>
  <si>
    <t>CAPITAL EXPENDITURE (Capex)</t>
  </si>
  <si>
    <t>FREE CASH FLOW(FCF)</t>
  </si>
  <si>
    <t>KEY ASSUMPTIONS</t>
  </si>
  <si>
    <t xml:space="preserve">SUMMARY HIGHLIGHTS </t>
  </si>
  <si>
    <t xml:space="preserve">• Revenue growth assumptions from Scenario Analysis (Base Case).
• Tax rate assumed 16% for forecasting .
• Share count reduces  gradually due to buybacks . </t>
  </si>
  <si>
    <r>
      <rPr>
        <sz val="11"/>
        <color rgb="FF000000"/>
        <rFont val="Calibri"/>
      </rPr>
      <t xml:space="preserve">• Revenue grows from </t>
    </r>
    <r>
      <rPr>
        <b/>
        <sz val="11"/>
        <color rgb="FF000000"/>
        <rFont val="Calibri"/>
      </rPr>
      <t>$416.1B</t>
    </r>
    <r>
      <rPr>
        <sz val="11"/>
        <color rgb="FF000000"/>
        <rFont val="Calibri"/>
      </rPr>
      <t xml:space="preserve"> in 2025 to </t>
    </r>
    <r>
      <rPr>
        <b/>
        <sz val="11"/>
        <color rgb="FF000000"/>
        <rFont val="Calibri"/>
      </rPr>
      <t>$501.34B</t>
    </r>
    <r>
      <rPr>
        <sz val="11"/>
        <color rgb="FF000000"/>
        <rFont val="Calibri"/>
      </rPr>
      <t xml:space="preserve"> in 2030 ( CAGR </t>
    </r>
    <r>
      <rPr>
        <b/>
        <sz val="11"/>
        <color rgb="FF000000"/>
        <rFont val="Calibri"/>
      </rPr>
      <t>3.8%</t>
    </r>
    <r>
      <rPr>
        <sz val="11"/>
        <color rgb="FF000000"/>
        <rFont val="Calibri"/>
      </rPr>
      <t>) 
• Net income grows from</t>
    </r>
    <r>
      <rPr>
        <b/>
        <sz val="11"/>
        <color rgb="FF000000"/>
        <rFont val="Calibri"/>
      </rPr>
      <t xml:space="preserve"> $112.1B</t>
    </r>
    <r>
      <rPr>
        <sz val="11"/>
        <color rgb="FF000000"/>
        <rFont val="Calibri"/>
      </rPr>
      <t xml:space="preserve"> In 2025 to </t>
    </r>
    <r>
      <rPr>
        <b/>
        <sz val="11"/>
        <color rgb="FF000000"/>
        <rFont val="Calibri"/>
      </rPr>
      <t>$142.9B</t>
    </r>
    <r>
      <rPr>
        <sz val="11"/>
        <color rgb="FF000000"/>
        <rFont val="Calibri"/>
      </rPr>
      <t xml:space="preserve"> in 2030 (CAGR </t>
    </r>
    <r>
      <rPr>
        <b/>
        <sz val="11"/>
        <color rgb="FF000000"/>
        <rFont val="Calibri"/>
      </rPr>
      <t>5%</t>
    </r>
    <r>
      <rPr>
        <sz val="11"/>
        <color rgb="FF000000"/>
        <rFont val="Calibri"/>
      </rPr>
      <t xml:space="preserve">).
• EPS grows from </t>
    </r>
    <r>
      <rPr>
        <b/>
        <sz val="11"/>
        <color rgb="FF000000"/>
        <rFont val="Calibri"/>
      </rPr>
      <t xml:space="preserve">$7.47 </t>
    </r>
    <r>
      <rPr>
        <sz val="11"/>
        <color rgb="FF000000"/>
        <rFont val="Calibri"/>
      </rPr>
      <t>in 2025 to</t>
    </r>
    <r>
      <rPr>
        <b/>
        <sz val="11"/>
        <color rgb="FF000000"/>
        <rFont val="Calibri"/>
      </rPr>
      <t xml:space="preserve"> $10.21</t>
    </r>
    <r>
      <rPr>
        <sz val="11"/>
        <color rgb="FF000000"/>
        <rFont val="Calibri"/>
      </rPr>
      <t xml:space="preserve"> in 2030 .
• Free Cash Flow grows from </t>
    </r>
    <r>
      <rPr>
        <b/>
        <sz val="11"/>
        <color rgb="FF000000"/>
        <rFont val="Calibri"/>
      </rPr>
      <t>$98.7B</t>
    </r>
    <r>
      <rPr>
        <sz val="11"/>
        <color rgb="FF000000"/>
        <rFont val="Calibri"/>
      </rPr>
      <t xml:space="preserve"> in 2025 to </t>
    </r>
    <r>
      <rPr>
        <b/>
        <sz val="11"/>
        <color rgb="FF000000"/>
        <rFont val="Calibri"/>
      </rPr>
      <t>$157.9B</t>
    </r>
    <r>
      <rPr>
        <sz val="11"/>
        <color rgb="FF000000"/>
        <rFont val="Calibri"/>
      </rPr>
      <t xml:space="preserve"> in 2030 .</t>
    </r>
  </si>
  <si>
    <t xml:space="preserve">APPLE INC. - DCF VALUATION </t>
  </si>
  <si>
    <t xml:space="preserve">1. FORECAST FREE CASH  FLOW </t>
  </si>
  <si>
    <t xml:space="preserve">YEAR </t>
  </si>
  <si>
    <t>YEAR ENDING</t>
  </si>
  <si>
    <t xml:space="preserve">FREE CASH FLOW </t>
  </si>
  <si>
    <t>2. DISCOUNTING OF CASH  FLOWS</t>
  </si>
  <si>
    <t>DISCOUNT FACTOR (8%)</t>
  </si>
  <si>
    <t>PRESENT VALUE OF FCF</t>
  </si>
  <si>
    <t>3. TERMINAL VALUE CALCULATION</t>
  </si>
  <si>
    <t>4. ENTERPRISE VALUE</t>
  </si>
  <si>
    <t>FCF in FY2030E</t>
  </si>
  <si>
    <t>PV of FCF (2026E to 2030E )</t>
  </si>
  <si>
    <r>
      <rPr>
        <sz val="11"/>
        <color rgb="FF000000"/>
        <rFont val="Calibri"/>
        <scheme val="minor"/>
      </rPr>
      <t xml:space="preserve">FCF in FY2031E ( </t>
    </r>
    <r>
      <rPr>
        <b/>
        <sz val="11"/>
        <color rgb="FF000000"/>
        <rFont val="Calibri"/>
        <scheme val="minor"/>
      </rPr>
      <t xml:space="preserve">FCF2030E*(1+g) </t>
    </r>
    <r>
      <rPr>
        <sz val="11"/>
        <color rgb="FF000000"/>
        <rFont val="Calibri"/>
        <scheme val="minor"/>
      </rPr>
      <t>)</t>
    </r>
  </si>
  <si>
    <t xml:space="preserve">PV of TERMINAL VALUE </t>
  </si>
  <si>
    <t>TERMINAL GROWTH RATE (g)</t>
  </si>
  <si>
    <t xml:space="preserve">ENTERPRISE VALUE </t>
  </si>
  <si>
    <t>TERMINAL VALUE (TV)=FCF2031E/(WACC-g)</t>
  </si>
  <si>
    <t>4. EQUITY VALUE</t>
  </si>
  <si>
    <t xml:space="preserve">DISCOUNT FACTOR FOR YEAR 5 </t>
  </si>
  <si>
    <t>ENTERPRISE VALUE (EV)</t>
  </si>
  <si>
    <t>PRESENT VALUE OF TERMINAL VALUE ( PV OF TV )</t>
  </si>
  <si>
    <t>PLUS: CASH &amp; CASH EQUIVALENTS(FY2025)</t>
  </si>
  <si>
    <t>LESS: TOTAL DEBT (FY2025)</t>
  </si>
  <si>
    <t>SUMMARY OF DCF RESULTS</t>
  </si>
  <si>
    <t xml:space="preserve">EQUITY VALUE </t>
  </si>
  <si>
    <t xml:space="preserve">5.  IMPLIED SHARE PRICE </t>
  </si>
  <si>
    <t>IMPLIED SHARE PRICE (USD)</t>
  </si>
  <si>
    <t>CURRENT MARKET PRICE  (USD)</t>
  </si>
  <si>
    <t>DILUTED SHARES OUTSTANDING (FY2030E)</t>
  </si>
  <si>
    <t>7. SENSITIVITY ANALYSIS - IMPLIED SHARE PRICE (USD)</t>
  </si>
  <si>
    <t>TERMINAL RATE (g)</t>
  </si>
  <si>
    <t>CURRENT MARKET PRICE (USD)</t>
  </si>
  <si>
    <t>APPLE INC. - COMPARABLE COMPANY ANALYSIS</t>
  </si>
  <si>
    <t>(All figures in USD Bn , except per share data and multiples)</t>
  </si>
  <si>
    <t>1. COMPARABLE COMPANY OVERVIEW</t>
  </si>
  <si>
    <t>COMPANY</t>
  </si>
  <si>
    <t>SHARE PRICE
(USD)</t>
  </si>
  <si>
    <t>SHARES OUTSTANDING
(Bn)</t>
  </si>
  <si>
    <t>MARKET CAP
(USD Bn)</t>
  </si>
  <si>
    <t>TOTAL DEBT
(USD Bn)</t>
  </si>
  <si>
    <t>CASH &amp; EQUIVALENTS
(USD Bn)</t>
  </si>
  <si>
    <t>ENTERPRISE VALUE 
(USD Bn)</t>
  </si>
  <si>
    <t>REVENUE
(TTM)</t>
  </si>
  <si>
    <t>EBITDA
(TTM)</t>
  </si>
  <si>
    <t>EBIT
(TTM)</t>
  </si>
  <si>
    <t xml:space="preserve">APPLE INC. </t>
  </si>
  <si>
    <t>MICROSOFT CORP.</t>
  </si>
  <si>
    <t>META PLATFORMS INC.</t>
  </si>
  <si>
    <t>AMAZON.COM INC.</t>
  </si>
  <si>
    <t>NVIDIA CORP.</t>
  </si>
  <si>
    <t>2. VALUATION MULTIPLES</t>
  </si>
  <si>
    <t xml:space="preserve">3. PEER GROUP STATISTICS </t>
  </si>
  <si>
    <t>P/E (TTM)</t>
  </si>
  <si>
    <t>EV/REVENUE 
(TTM)</t>
  </si>
  <si>
    <t>EV/EBIDTA
(TTM)</t>
  </si>
  <si>
    <t>EV/EBIT
(TTM)</t>
  </si>
  <si>
    <t>MULTIPLE</t>
  </si>
  <si>
    <t>MEAN</t>
  </si>
  <si>
    <t>MEDIAN</t>
  </si>
  <si>
    <t xml:space="preserve">HIGH </t>
  </si>
  <si>
    <t>LOW</t>
  </si>
  <si>
    <t>EV/REVENUE (TTM)</t>
  </si>
  <si>
    <t>EV/EBITDA (TTM)</t>
  </si>
  <si>
    <t>EV/EBIT (TTM)</t>
  </si>
  <si>
    <t>Apple trades at premium to most peers on EV/EBIDTA and EV/REVENUE, reflecting its higher margins,
brand value and profitability .</t>
  </si>
  <si>
    <t>4. APPLE IMPLIED VALUATION USING PEER AVERAGE MULTIPLES</t>
  </si>
  <si>
    <t xml:space="preserve"> 5. IMPLIED SHARE PRICE RANGE</t>
  </si>
  <si>
    <t>PEER AVERAGE 
(x)</t>
  </si>
  <si>
    <t>APPLE METRIC
(USD Bn)</t>
  </si>
  <si>
    <t>IMPLIED EV 
(USD Bn)</t>
  </si>
  <si>
    <t>IMPLIED EQUITY VALUE
(USD Bn)</t>
  </si>
  <si>
    <t>IMPLIED SHARE PRICE 
(USD)</t>
  </si>
  <si>
    <t xml:space="preserve">EV/REVENUE </t>
  </si>
  <si>
    <t xml:space="preserve">EV/EBITDA </t>
  </si>
  <si>
    <t>P/E</t>
  </si>
  <si>
    <t>AVERAGE IMPLIED 
SHARE PRICE (USD)</t>
  </si>
  <si>
    <r>
      <rPr>
        <sz val="11"/>
        <color rgb="FF000000"/>
        <rFont val="Calibri"/>
      </rPr>
      <t xml:space="preserve">1. Apple TTM EPS used for P/E based valuation 
</t>
    </r>
    <r>
      <rPr>
        <b/>
        <sz val="11"/>
        <color rgb="FF000000"/>
        <rFont val="Calibri"/>
      </rPr>
      <t xml:space="preserve">NOTE: </t>
    </r>
    <r>
      <rPr>
        <sz val="11"/>
        <color rgb="FF000000"/>
        <rFont val="Calibri"/>
      </rPr>
      <t xml:space="preserve">Implied Equity Value = ImplIed EV - Debt + Cash </t>
    </r>
  </si>
  <si>
    <t xml:space="preserve">KEY TAKEAWAY </t>
  </si>
  <si>
    <r>
      <rPr>
        <sz val="11"/>
        <color rgb="FF002060"/>
        <rFont val="Calibri"/>
        <scheme val="minor"/>
      </rPr>
      <t xml:space="preserve">Based on peer average multiples , the implied share price of Apple Inc. ranges between </t>
    </r>
    <r>
      <rPr>
        <b/>
        <sz val="11"/>
        <color rgb="FF002060"/>
        <rFont val="Calibri"/>
        <scheme val="minor"/>
      </rPr>
      <t>USD 238 - 319</t>
    </r>
    <r>
      <rPr>
        <sz val="11"/>
        <color rgb="FF002060"/>
        <rFont val="Calibri"/>
        <scheme val="minor"/>
      </rPr>
      <t xml:space="preserve"> with an average
implied price of  </t>
    </r>
    <r>
      <rPr>
        <b/>
        <sz val="11"/>
        <color rgb="FF002060"/>
        <rFont val="Calibri"/>
        <scheme val="minor"/>
      </rPr>
      <t>USD 274.64</t>
    </r>
  </si>
  <si>
    <t>CURRENT PRICE (USD)</t>
  </si>
  <si>
    <t>APPLE INC. - PRECEDENT TRANSACTION ANALYSIS</t>
  </si>
  <si>
    <t xml:space="preserve">1. SELECTED PRECEDENT TRANSACTIONS </t>
  </si>
  <si>
    <t xml:space="preserve">ANNOUNCED 
DATE </t>
  </si>
  <si>
    <t>ACQUIRER</t>
  </si>
  <si>
    <t>TARGET</t>
  </si>
  <si>
    <t xml:space="preserve">TARGET BUSINESS
DESCRIPTION </t>
  </si>
  <si>
    <t>DEAL VALUE
(USD)</t>
  </si>
  <si>
    <t>EV/REVENUE 
(LTM)</t>
  </si>
  <si>
    <t>EV/EBITDA
(LTM)</t>
  </si>
  <si>
    <t xml:space="preserve">Cisco Systems </t>
  </si>
  <si>
    <t>Splunk Inc.</t>
  </si>
  <si>
    <t xml:space="preserve">Data Analytics and Observability </t>
  </si>
  <si>
    <t>Broadcom Inc.</t>
  </si>
  <si>
    <t>VMware Inc.</t>
  </si>
  <si>
    <t>Cloud Infrastructure and Software</t>
  </si>
  <si>
    <t>Microsoft</t>
  </si>
  <si>
    <t>Activision Blizzard</t>
  </si>
  <si>
    <t>Video game developer and publisher</t>
  </si>
  <si>
    <t>Advanced Micro Devices</t>
  </si>
  <si>
    <t>Xilink Inc.</t>
  </si>
  <si>
    <t>FPGA and adaptive computing</t>
  </si>
  <si>
    <t xml:space="preserve">Dell Technologies </t>
  </si>
  <si>
    <t xml:space="preserve">EMC Corporation </t>
  </si>
  <si>
    <t>Enterprise Storage and data solutions</t>
  </si>
  <si>
    <t xml:space="preserve">2. TRANSACTION MULTIPLES SUMMARY </t>
  </si>
  <si>
    <t>5. IMPLIED SHARE PRICE RANGE</t>
  </si>
  <si>
    <t>MULTIPLES</t>
  </si>
  <si>
    <t>HIGH</t>
  </si>
  <si>
    <t>EV/REVENUE (LTM)</t>
  </si>
  <si>
    <t>EV/EBITDA (LTM)</t>
  </si>
  <si>
    <r>
      <rPr>
        <b/>
        <sz val="11"/>
        <color rgb="FF000000"/>
        <rFont val="Calibri"/>
      </rPr>
      <t xml:space="preserve">SOURCE: </t>
    </r>
    <r>
      <rPr>
        <sz val="11"/>
        <color rgb="FF000000"/>
        <rFont val="Calibri"/>
      </rPr>
      <t>SEC Filings, Company Reports, Public Market Data</t>
    </r>
  </si>
  <si>
    <r>
      <rPr>
        <b/>
        <sz val="11"/>
        <color rgb="FF000000"/>
        <rFont val="Calibri"/>
        <scheme val="minor"/>
      </rPr>
      <t xml:space="preserve">NOTE: </t>
    </r>
    <r>
      <rPr>
        <sz val="11"/>
        <color rgb="FF000000"/>
        <rFont val="Calibri"/>
        <scheme val="minor"/>
      </rPr>
      <t xml:space="preserve">Multiples based on LTM financials as of deal announced date </t>
    </r>
  </si>
  <si>
    <t>3. APPLE IMPLIED VALUATION USING PRECEDENT TRANSACTION MULTIPLES</t>
  </si>
  <si>
    <t>NET DEBT 
(USD Bn)</t>
  </si>
  <si>
    <r>
      <rPr>
        <sz val="11"/>
        <color rgb="FF000000"/>
        <rFont val="Calibri"/>
        <scheme val="minor"/>
      </rPr>
      <t>1.</t>
    </r>
    <r>
      <rPr>
        <b/>
        <sz val="11"/>
        <color rgb="FF000000"/>
        <rFont val="Calibri"/>
        <scheme val="minor"/>
      </rPr>
      <t xml:space="preserve"> Net Debt</t>
    </r>
    <r>
      <rPr>
        <sz val="11"/>
        <color rgb="FF000000"/>
        <rFont val="Calibri"/>
        <scheme val="minor"/>
      </rPr>
      <t xml:space="preserve"> = Total Debt(90.6) - Cash &amp; Equivalents(35.9) = </t>
    </r>
    <r>
      <rPr>
        <b/>
        <sz val="11"/>
        <color rgb="FF000000"/>
        <rFont val="Calibri"/>
        <scheme val="minor"/>
      </rPr>
      <t>54.7</t>
    </r>
  </si>
  <si>
    <r>
      <rPr>
        <sz val="11"/>
        <color rgb="FF000000"/>
        <rFont val="Calibri"/>
        <scheme val="minor"/>
      </rPr>
      <t>2.</t>
    </r>
    <r>
      <rPr>
        <b/>
        <sz val="11"/>
        <color rgb="FF000000"/>
        <rFont val="Calibri"/>
        <scheme val="minor"/>
      </rPr>
      <t xml:space="preserve"> Shares Outstanding</t>
    </r>
    <r>
      <rPr>
        <sz val="11"/>
        <color rgb="FF000000"/>
        <rFont val="Calibri"/>
        <scheme val="minor"/>
      </rPr>
      <t xml:space="preserve"> = </t>
    </r>
    <r>
      <rPr>
        <b/>
        <sz val="11"/>
        <color rgb="FF000000"/>
        <rFont val="Calibri"/>
        <scheme val="minor"/>
      </rPr>
      <t>15.00 Bn</t>
    </r>
  </si>
  <si>
    <r>
      <rPr>
        <sz val="11"/>
        <color rgb="FF002060"/>
        <rFont val="Calibri"/>
      </rPr>
      <t xml:space="preserve">Using Precedent Transaction Analysis , the Average Implied Price of Apple Inc. is </t>
    </r>
    <r>
      <rPr>
        <b/>
        <sz val="11"/>
        <color rgb="FF002060"/>
        <rFont val="Calibri"/>
      </rPr>
      <t>USD 247.19</t>
    </r>
  </si>
  <si>
    <t xml:space="preserve">RISK AND SCENARIO ANALYSIS </t>
  </si>
  <si>
    <t xml:space="preserve">1. KEY INVESTMENT RISKS </t>
  </si>
  <si>
    <t>2. SCENARIO ANALYSIS (IMPLIED SHARE PRICE)</t>
  </si>
  <si>
    <r>
      <rPr>
        <sz val="11"/>
        <color rgb="FF000000"/>
        <rFont val="Calibri"/>
      </rPr>
      <t xml:space="preserve">• </t>
    </r>
    <r>
      <rPr>
        <b/>
        <sz val="11"/>
        <color rgb="FF000000"/>
        <rFont val="Calibri"/>
      </rPr>
      <t xml:space="preserve">IPHONE DEPENDENCE
</t>
    </r>
    <r>
      <rPr>
        <sz val="11"/>
        <color rgb="FF000000"/>
        <rFont val="Calibri"/>
      </rPr>
      <t xml:space="preserve">More than 50% of revenue is derived from iPhone.
A slowdown in upgrade cycles or weaker demand could materially impact growth.
</t>
    </r>
    <r>
      <rPr>
        <b/>
        <sz val="11"/>
        <color rgb="FF000000"/>
        <rFont val="Calibri"/>
      </rPr>
      <t xml:space="preserve">•SUPPLY CHAIN AND GEOPOLITICAL RISK
</t>
    </r>
    <r>
      <rPr>
        <sz val="11"/>
        <color rgb="FF000000"/>
        <rFont val="Calibri"/>
      </rPr>
      <t xml:space="preserve">Apple relies heavily on manufacturing partners in China, Taiwan, India and Vietnam. Trade restrictions, tariffs, geopolitical tensions, or supply chain disruptions could increase costs and delay production.
• </t>
    </r>
    <r>
      <rPr>
        <b/>
        <sz val="11"/>
        <color rgb="FF000000"/>
        <rFont val="Calibri"/>
      </rPr>
      <t xml:space="preserve">REGULATORY AND ANTITHRUST RISK
</t>
    </r>
    <r>
      <rPr>
        <sz val="11"/>
        <color rgb="FF000000"/>
        <rFont val="Calibri"/>
      </rPr>
      <t xml:space="preserve">Apple faces increasing global regulatory scrutiny related to App Store policies, digital markets regulation and antitrust investigations, particularly in the U.S. and Europe. Regulatory changes could impact margins and services revenue.
• </t>
    </r>
    <r>
      <rPr>
        <b/>
        <sz val="11"/>
        <color rgb="FF000000"/>
        <rFont val="Calibri"/>
      </rPr>
      <t xml:space="preserve">AI AND COMPETITION RISK
</t>
    </r>
    <r>
      <rPr>
        <sz val="11"/>
        <color rgb="FF000000"/>
        <rFont val="Calibri"/>
      </rPr>
      <t xml:space="preserve">Intensifying competition from Microsoft, Google, Samsung and others in Al, cloud and ecosystem services could pressure growth and margins.
</t>
    </r>
  </si>
  <si>
    <t xml:space="preserve">SCENARIO </t>
  </si>
  <si>
    <t>REVENUE GROWTH
(CAGR)</t>
  </si>
  <si>
    <t>EBITDA 
MARGIN</t>
  </si>
  <si>
    <t xml:space="preserve">TERMINAL
GROWTH RATE </t>
  </si>
  <si>
    <t>IMPLIED SHARE
PRICE</t>
  </si>
  <si>
    <t>UPSIDE/
DOWNSIDE</t>
  </si>
  <si>
    <t xml:space="preserve">BULL CASE </t>
  </si>
  <si>
    <r>
      <rPr>
        <b/>
        <sz val="11"/>
        <color rgb="FF002060"/>
        <rFont val="Calibri"/>
      </rPr>
      <t>• CURRENT PRICE</t>
    </r>
    <r>
      <rPr>
        <b/>
        <sz val="11"/>
        <color rgb="FF000000"/>
        <rFont val="Calibri"/>
      </rPr>
      <t xml:space="preserve"> </t>
    </r>
    <r>
      <rPr>
        <sz val="11"/>
        <color rgb="FF000000"/>
        <rFont val="Calibri"/>
      </rPr>
      <t xml:space="preserve">- </t>
    </r>
    <r>
      <rPr>
        <b/>
        <sz val="11"/>
        <color rgb="FF000000"/>
        <rFont val="Calibri"/>
      </rPr>
      <t>$308.8</t>
    </r>
  </si>
  <si>
    <t xml:space="preserve">3. SENSITIVITY SUMMARY </t>
  </si>
  <si>
    <t>• Valuation is most sensitive to WACC and terminal growth rate assumptions.
•A 0.5% decrease in WACC can increase the implied share price by 10-15%.
• A 0.5% increase in terminal growth can increase the implied share price by ~8-12%.
• EBITDA margin expansion has a meaningful positive impact on intrinsic value.</t>
  </si>
  <si>
    <t>FINAL INVESTMENT VIEW</t>
  </si>
  <si>
    <r>
      <rPr>
        <sz val="11"/>
        <color rgb="FF000000"/>
        <rFont val="Calibri"/>
        <scheme val="minor"/>
      </rPr>
      <t>Based on our valuation analysis, we derive a</t>
    </r>
    <r>
      <rPr>
        <b/>
        <sz val="11"/>
        <color rgb="FF000000"/>
        <rFont val="Calibri"/>
        <scheme val="minor"/>
      </rPr>
      <t xml:space="preserve"> target price of USD 229</t>
    </r>
    <r>
      <rPr>
        <sz val="11"/>
        <color rgb="FF000000"/>
        <rFont val="Calibri"/>
        <scheme val="minor"/>
      </rPr>
      <t>, implying downside from the current market price. While Apple maintains</t>
    </r>
    <r>
      <rPr>
        <b/>
        <sz val="11"/>
        <color rgb="FF000000"/>
        <rFont val="Calibri"/>
        <scheme val="minor"/>
      </rPr>
      <t xml:space="preserve"> strong fundamentals</t>
    </r>
    <r>
      <rPr>
        <sz val="11"/>
        <color rgb="FF000000"/>
        <rFont val="Calibri"/>
        <scheme val="minor"/>
      </rPr>
      <t xml:space="preserve"> and</t>
    </r>
    <r>
      <rPr>
        <b/>
        <sz val="11"/>
        <color rgb="FF000000"/>
        <rFont val="Calibri"/>
        <scheme val="minor"/>
      </rPr>
      <t xml:space="preserve"> robust cash flow generation</t>
    </r>
    <r>
      <rPr>
        <sz val="11"/>
        <color rgb="FF000000"/>
        <rFont val="Calibri"/>
        <scheme val="minor"/>
      </rPr>
      <t xml:space="preserve">, </t>
    </r>
    <r>
      <rPr>
        <b/>
        <sz val="11"/>
        <color rgb="FF000000"/>
        <rFont val="Calibri"/>
        <scheme val="minor"/>
      </rPr>
      <t>elevated valuation</t>
    </r>
    <r>
      <rPr>
        <sz val="11"/>
        <color rgb="FF000000"/>
        <rFont val="Calibri"/>
        <scheme val="minor"/>
      </rPr>
      <t xml:space="preserve"> limits upside potential. Therefore, we maintain a </t>
    </r>
    <r>
      <rPr>
        <b/>
        <sz val="11"/>
        <color rgb="FF000000"/>
        <rFont val="Calibri"/>
        <scheme val="minor"/>
      </rPr>
      <t xml:space="preserve">Hold / Neutral </t>
    </r>
    <r>
      <rPr>
        <sz val="11"/>
        <color rgb="FF000000"/>
        <rFont val="Calibri"/>
        <scheme val="minor"/>
      </rPr>
      <t>rating on Apple Inc.</t>
    </r>
  </si>
  <si>
    <t xml:space="preserve">OVERALL VIEW : </t>
  </si>
  <si>
    <t xml:space="preserve">HOLD/NEUTRAL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</si>
</sst>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65">
    <font>
      <sz val="11"/>
      <color theme="1"/>
      <name val="Calibri"/>
      <family val="2"/>
      <scheme val="minor"/>
    </font>
    <font>
      <b/>
      <sz val="24"/>
      <color rgb="FF002060"/>
      <name val="Calibri"/>
      <scheme val="minor"/>
    </font>
    <font>
      <sz val="24"/>
      <color rgb="FF000000"/>
      <name val="Calibri"/>
      <scheme val="minor"/>
    </font>
    <font>
      <sz val="24"/>
      <color theme="1"/>
      <name val="Calibri"/>
      <scheme val="minor"/>
    </font>
    <font>
      <sz val="11"/>
      <color theme="0"/>
      <name val="Calibri"/>
      <family val="2"/>
      <scheme val="minor"/>
    </font>
    <font>
      <sz val="11"/>
      <color rgb="FFFFFFFF"/>
      <name val="Calibri"/>
      <scheme val="minor"/>
    </font>
    <font>
      <b/>
      <sz val="24"/>
      <color rgb="FFFFFFFF"/>
      <name val="Calibri"/>
    </font>
    <font>
      <sz val="11"/>
      <color rgb="FFFFFFFF"/>
      <name val="Calibri"/>
    </font>
    <font>
      <sz val="10"/>
      <color theme="1"/>
      <name val="Calibri"/>
      <family val="2"/>
      <scheme val="minor"/>
    </font>
    <font>
      <sz val="10"/>
      <color rgb="FFFFFFFF"/>
      <name val="Calibri"/>
      <scheme val="minor"/>
    </font>
    <font>
      <sz val="10"/>
      <color theme="0"/>
      <name val="Calibri"/>
      <family val="2"/>
      <scheme val="minor"/>
    </font>
    <font>
      <sz val="24"/>
      <color theme="1"/>
      <name val="Calibri"/>
      <family val="2"/>
      <scheme val="minor"/>
    </font>
    <font>
      <sz val="22"/>
      <color theme="1"/>
      <name val="Calibri"/>
      <family val="2"/>
      <scheme val="minor"/>
    </font>
    <font>
      <b/>
      <sz val="11"/>
      <color rgb="FF002060"/>
      <name val="Calibri"/>
    </font>
    <font>
      <sz val="11"/>
      <color rgb="FF000000"/>
      <name val="Calibri"/>
    </font>
    <font>
      <b/>
      <sz val="11"/>
      <color rgb="FF000000"/>
      <name val="Calibri"/>
    </font>
    <font>
      <sz val="11"/>
      <color rgb="FF002060"/>
      <name val="Calibri"/>
      <scheme val="minor"/>
    </font>
    <font>
      <sz val="11"/>
      <color rgb="FF242424"/>
      <name val="Aptos Narrow"/>
      <charset val="1"/>
    </font>
    <font>
      <sz val="14"/>
      <color rgb="FFFFFFFF"/>
      <name val="Aptos Narrow"/>
    </font>
    <font>
      <sz val="14"/>
      <color rgb="FFFFFFFF"/>
      <name val="Calibri"/>
      <scheme val="minor"/>
    </font>
    <font>
      <b/>
      <sz val="11"/>
      <color rgb="FF000000"/>
      <name val="Calibri"/>
      <scheme val="minor"/>
    </font>
    <font>
      <b/>
      <sz val="11"/>
      <color theme="1"/>
      <name val="Calibri"/>
      <family val="2"/>
      <scheme val="minor"/>
    </font>
    <font>
      <sz val="9"/>
      <color rgb="FF000000"/>
      <name val="Helvetica"/>
      <family val="2"/>
      <charset val="1"/>
    </font>
    <font>
      <sz val="11"/>
      <color rgb="FF000000"/>
      <name val="Calibri"/>
      <scheme val="minor"/>
    </font>
    <font>
      <sz val="14"/>
      <color theme="1"/>
      <name val="Calibri"/>
      <family val="2"/>
      <scheme val="minor"/>
    </font>
    <font>
      <sz val="14"/>
      <color rgb="FFFFFFFF"/>
      <name val="Calibri"/>
      <charset val="1"/>
    </font>
    <font>
      <b/>
      <sz val="11"/>
      <color rgb="FF000000"/>
      <name val="Calibri"/>
      <charset val="1"/>
    </font>
    <font>
      <sz val="18"/>
      <color theme="0"/>
      <name val="Calibri"/>
      <family val="2"/>
      <scheme val="minor"/>
    </font>
    <font>
      <sz val="20"/>
      <color theme="0"/>
      <name val="Calibri"/>
      <family val="2"/>
      <scheme val="minor"/>
    </font>
    <font>
      <b/>
      <sz val="11"/>
      <color rgb="FF242424"/>
      <name val="Aptos Narrow"/>
    </font>
    <font>
      <sz val="16"/>
      <color rgb="FFFFFFFF"/>
      <name val="Calibri"/>
      <scheme val="minor"/>
    </font>
    <font>
      <sz val="18"/>
      <color rgb="FFFFFFFF"/>
      <name val="Calibri"/>
      <scheme val="minor"/>
    </font>
    <font>
      <b/>
      <sz val="20"/>
      <color theme="0"/>
      <name val="Calibri"/>
      <scheme val="minor"/>
    </font>
    <font>
      <sz val="16"/>
      <color theme="0"/>
      <name val="Calibri"/>
      <family val="2"/>
      <scheme val="minor"/>
    </font>
    <font>
      <sz val="14"/>
      <color theme="0"/>
      <name val="Calibri"/>
      <family val="2"/>
      <scheme val="minor"/>
    </font>
    <font>
      <sz val="11"/>
      <color rgb="FF000000"/>
      <name val="Calibri"/>
      <family val="2"/>
      <charset val="1"/>
    </font>
    <font>
      <b/>
      <sz val="11"/>
      <color rgb="FF00B0F0"/>
      <name val="Calibri"/>
      <family val="2"/>
      <scheme val="minor"/>
    </font>
    <font>
      <b/>
      <sz val="11"/>
      <color rgb="FF242424"/>
      <name val="Aptos Narrow"/>
      <charset val="1"/>
    </font>
    <font>
      <sz val="11"/>
      <color rgb="FF000000"/>
      <name val="Calibri"/>
      <charset val="1"/>
    </font>
    <font>
      <b/>
      <sz val="11"/>
      <color rgb="FFFF0000"/>
      <name val="Calibri"/>
      <family val="2"/>
      <scheme val="minor"/>
    </font>
    <font>
      <sz val="24"/>
      <color rgb="FFFF0000"/>
      <name val="Calibri"/>
      <scheme val="minor"/>
    </font>
    <font>
      <b/>
      <sz val="12"/>
      <color rgb="FF000000"/>
      <name val="Calibri"/>
      <scheme val="minor"/>
    </font>
    <font>
      <b/>
      <sz val="11"/>
      <color rgb="FF002060"/>
      <name val="Calibri"/>
      <family val="2"/>
      <scheme val="minor"/>
    </font>
    <font>
      <sz val="12"/>
      <color theme="0"/>
      <name val="Calibri"/>
      <family val="2"/>
      <scheme val="minor"/>
    </font>
    <font>
      <sz val="14"/>
      <color rgb="FFFFFFFF"/>
      <name val="Calibri"/>
      <family val="2"/>
      <scheme val="minor"/>
    </font>
    <font>
      <sz val="11"/>
      <color rgb="FFFFFFFF"/>
      <name val="Calibri"/>
      <family val="2"/>
      <scheme val="minor"/>
    </font>
    <font>
      <b/>
      <sz val="11"/>
      <color rgb="FF00B0F0"/>
      <name val="Calibri"/>
      <scheme val="minor"/>
    </font>
    <font>
      <b/>
      <sz val="14"/>
      <color rgb="FF002060"/>
      <name val="Calibri"/>
      <family val="2"/>
      <scheme val="minor"/>
    </font>
    <font>
      <b/>
      <sz val="11"/>
      <color rgb="FF002060"/>
      <name val="Calibri"/>
      <scheme val="minor"/>
    </font>
    <font>
      <sz val="11"/>
      <color rgb="FF002060"/>
      <name val="Calibri"/>
      <family val="2"/>
      <scheme val="minor"/>
    </font>
    <font>
      <sz val="11"/>
      <color theme="8" tint="0.79998168889431442"/>
      <name val="Calibri"/>
      <family val="2"/>
      <scheme val="minor"/>
    </font>
    <font>
      <sz val="16"/>
      <color rgb="FFFFFFFF"/>
      <name val="Calibri"/>
    </font>
    <font>
      <sz val="11"/>
      <color rgb="FF002060"/>
      <name val="Calibri"/>
    </font>
    <font>
      <sz val="11"/>
      <color theme="1"/>
      <name val="Calibri"/>
    </font>
    <font>
      <b/>
      <sz val="14"/>
      <color theme="1"/>
      <name val="Calibri"/>
      <family val="2"/>
      <scheme val="minor"/>
    </font>
    <font>
      <sz val="18"/>
      <color rgb="FFFFFFFF"/>
      <name val="Aptos Narrow"/>
    </font>
    <font>
      <b/>
      <sz val="52"/>
      <color rgb="FF002060"/>
      <name val="Calibri"/>
    </font>
    <font>
      <b/>
      <sz val="28"/>
      <color rgb="FF002060"/>
      <name val="Calibri"/>
      <scheme val="minor"/>
    </font>
    <font>
      <sz val="20"/>
      <color rgb="FF000000"/>
      <name val="Calibri"/>
      <scheme val="minor"/>
    </font>
    <font>
      <b/>
      <sz val="12"/>
      <color theme="1"/>
      <name val="Calibri"/>
      <family val="2"/>
      <scheme val="minor"/>
    </font>
    <font>
      <sz val="16"/>
      <color theme="0"/>
      <name val="Calibri"/>
      <scheme val="minor"/>
    </font>
    <font>
      <b/>
      <sz val="24"/>
      <color rgb="FF00B0F0"/>
      <name val="Calibri"/>
      <scheme val="minor"/>
    </font>
    <font>
      <sz val="24"/>
      <color rgb="FF00B0F0"/>
      <name val="Calibri"/>
      <family val="2"/>
      <scheme val="minor"/>
    </font>
    <font>
      <b/>
      <sz val="18"/>
      <color rgb="FFFFC000"/>
      <name val="Calibri"/>
    </font>
    <font>
      <sz val="11"/>
      <color rgb="FFFFC000"/>
      <name val="Calibri"/>
      <family val="2"/>
      <scheme val="minor"/>
    </font>
  </fonts>
  <fills count="7">
    <fill>
      <patternFill patternType="none"/>
    </fill>
    <fill>
      <patternFill patternType="gray125"/>
    </fill>
    <fill>
      <patternFill patternType="solid">
        <fgColor rgb="FF00206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59999389629810485"/>
        <bgColor indexed="64"/>
      </patternFill>
    </fill>
  </fills>
  <borders count="38">
    <border>
      <left/>
      <right/>
      <top/>
      <bottom/>
      <diagonal/>
    </border>
    <border>
      <left style="thick">
        <color rgb="FF002060"/>
      </left>
      <right/>
      <top style="thick">
        <color rgb="FF002060"/>
      </top>
      <bottom style="thick">
        <color rgb="FF002060"/>
      </bottom>
      <diagonal/>
    </border>
    <border>
      <left/>
      <right/>
      <top style="thick">
        <color rgb="FF002060"/>
      </top>
      <bottom style="thick">
        <color rgb="FF00206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theme="4"/>
      </left>
      <right style="thin">
        <color theme="4"/>
      </right>
      <top style="thin">
        <color theme="4"/>
      </top>
      <bottom style="thin">
        <color theme="4"/>
      </bottom>
      <diagonal/>
    </border>
    <border>
      <left/>
      <right/>
      <top style="thin">
        <color theme="4"/>
      </top>
      <bottom/>
      <diagonal/>
    </border>
    <border>
      <left/>
      <right/>
      <top style="thin">
        <color rgb="FF000000"/>
      </top>
      <bottom style="thin">
        <color rgb="FF000000"/>
      </bottom>
      <diagonal/>
    </border>
    <border>
      <left style="thin">
        <color rgb="FF000000"/>
      </left>
      <right style="thin">
        <color rgb="FF000000"/>
      </right>
      <top/>
      <bottom/>
      <diagonal/>
    </border>
    <border>
      <left/>
      <right/>
      <top style="thick">
        <color rgb="FF002060"/>
      </top>
      <bottom/>
      <diagonal/>
    </border>
    <border>
      <left style="thick">
        <color rgb="FF002060"/>
      </left>
      <right/>
      <top/>
      <bottom style="thick">
        <color rgb="FF002060"/>
      </bottom>
      <diagonal/>
    </border>
    <border>
      <left/>
      <right/>
      <top/>
      <bottom style="thick">
        <color rgb="FF002060"/>
      </bottom>
      <diagonal/>
    </border>
    <border>
      <left/>
      <right/>
      <top/>
      <bottom style="medium">
        <color rgb="FF002060"/>
      </bottom>
      <diagonal/>
    </border>
    <border>
      <left/>
      <right style="thick">
        <color rgb="FF002060"/>
      </right>
      <top style="thick">
        <color rgb="FF002060"/>
      </top>
      <bottom style="thick">
        <color rgb="FF002060"/>
      </bottom>
      <diagonal/>
    </border>
    <border>
      <left/>
      <right/>
      <top style="thick">
        <color rgb="FF000000"/>
      </top>
      <bottom style="thick">
        <color rgb="FF002060"/>
      </bottom>
      <diagonal/>
    </border>
    <border>
      <left style="thick">
        <color rgb="FF002060"/>
      </left>
      <right style="thick">
        <color rgb="FF002060"/>
      </right>
      <top style="thick">
        <color rgb="FF002060"/>
      </top>
      <bottom style="thick">
        <color rgb="FF002060"/>
      </bottom>
      <diagonal/>
    </border>
    <border>
      <left style="thick">
        <color rgb="FF00206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467">
    <xf numFmtId="0" fontId="0" fillId="0" borderId="0" xfId="0"/>
    <xf numFmtId="0" fontId="0" fillId="2" borderId="0" xfId="0" applyFill="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4" fillId="2" borderId="0" xfId="0" applyFont="1" applyFill="1"/>
    <xf numFmtId="164" fontId="0" fillId="0" borderId="5" xfId="0" applyNumberFormat="1" applyBorder="1"/>
    <xf numFmtId="164" fontId="0" fillId="0" borderId="4" xfId="0" applyNumberFormat="1" applyBorder="1"/>
    <xf numFmtId="10" fontId="0" fillId="0" borderId="5" xfId="0" applyNumberFormat="1" applyBorder="1"/>
    <xf numFmtId="164" fontId="0" fillId="0" borderId="3" xfId="0" applyNumberFormat="1" applyBorder="1"/>
    <xf numFmtId="0" fontId="4" fillId="2" borderId="14" xfId="0" applyFont="1" applyFill="1" applyBorder="1"/>
    <xf numFmtId="10" fontId="0" fillId="0" borderId="15" xfId="0" applyNumberFormat="1" applyBorder="1"/>
    <xf numFmtId="0" fontId="0" fillId="0" borderId="0" xfId="0" applyAlignment="1">
      <alignment horizontal="center"/>
    </xf>
    <xf numFmtId="10" fontId="0" fillId="0" borderId="4" xfId="0" applyNumberFormat="1" applyBorder="1"/>
    <xf numFmtId="0" fontId="36" fillId="0" borderId="0" xfId="0" applyFont="1"/>
    <xf numFmtId="10" fontId="0" fillId="0" borderId="0" xfId="0" applyNumberFormat="1" applyAlignment="1">
      <alignment horizontal="center"/>
    </xf>
    <xf numFmtId="0" fontId="0" fillId="0" borderId="5" xfId="0" applyBorder="1"/>
    <xf numFmtId="2" fontId="21" fillId="3" borderId="5" xfId="0" applyNumberFormat="1" applyFont="1" applyFill="1" applyBorder="1"/>
    <xf numFmtId="0" fontId="21" fillId="3" borderId="5" xfId="0" applyFont="1" applyFill="1" applyBorder="1"/>
    <xf numFmtId="0" fontId="0" fillId="0" borderId="4" xfId="0" applyBorder="1"/>
    <xf numFmtId="2" fontId="21" fillId="4" borderId="0" xfId="0" applyNumberFormat="1" applyFont="1" applyFill="1" applyAlignment="1">
      <alignment horizontal="center"/>
    </xf>
    <xf numFmtId="2" fontId="0" fillId="0" borderId="0" xfId="0" applyNumberFormat="1" applyAlignment="1">
      <alignment horizontal="center"/>
    </xf>
    <xf numFmtId="10" fontId="0" fillId="4" borderId="0" xfId="0" applyNumberFormat="1" applyFill="1" applyAlignment="1">
      <alignment horizontal="center"/>
    </xf>
    <xf numFmtId="2" fontId="0" fillId="0" borderId="4" xfId="0" applyNumberFormat="1" applyBorder="1"/>
    <xf numFmtId="2" fontId="21" fillId="3" borderId="4" xfId="0" applyNumberFormat="1" applyFont="1" applyFill="1" applyBorder="1"/>
    <xf numFmtId="10" fontId="0" fillId="0" borderId="5" xfId="0" applyNumberFormat="1" applyBorder="1" applyAlignment="1">
      <alignment horizontal="center"/>
    </xf>
    <xf numFmtId="10" fontId="0" fillId="3" borderId="5" xfId="0" applyNumberFormat="1" applyFill="1" applyBorder="1" applyAlignment="1">
      <alignment horizontal="center"/>
    </xf>
    <xf numFmtId="0" fontId="0" fillId="0" borderId="0" xfId="0" applyAlignment="1">
      <alignment horizontal="left"/>
    </xf>
    <xf numFmtId="2" fontId="0" fillId="0" borderId="0" xfId="0" applyNumberFormat="1"/>
    <xf numFmtId="10" fontId="0" fillId="0" borderId="5" xfId="0" applyNumberFormat="1" applyBorder="1" applyAlignment="1">
      <alignment horizontal="left"/>
    </xf>
    <xf numFmtId="10" fontId="0" fillId="0" borderId="14" xfId="0" applyNumberFormat="1" applyBorder="1" applyAlignment="1">
      <alignment horizontal="center"/>
    </xf>
    <xf numFmtId="0" fontId="34" fillId="2" borderId="0" xfId="0" applyFont="1" applyFill="1" applyAlignment="1">
      <alignment horizontal="center"/>
    </xf>
    <xf numFmtId="0" fontId="0" fillId="0" borderId="3" xfId="0" applyBorder="1" applyAlignment="1">
      <alignment horizontal="center"/>
    </xf>
    <xf numFmtId="0" fontId="0" fillId="0" borderId="0" xfId="0" applyAlignment="1">
      <alignment horizontal="center" vertical="center"/>
    </xf>
    <xf numFmtId="10" fontId="21" fillId="3" borderId="5" xfId="0" applyNumberFormat="1" applyFont="1" applyFill="1" applyBorder="1" applyAlignment="1">
      <alignment horizontal="left"/>
    </xf>
    <xf numFmtId="0" fontId="21" fillId="3" borderId="4" xfId="0" applyFont="1" applyFill="1" applyBorder="1"/>
    <xf numFmtId="0" fontId="42" fillId="3" borderId="5" xfId="0" applyFont="1" applyFill="1" applyBorder="1"/>
    <xf numFmtId="0" fontId="0" fillId="0" borderId="5" xfId="0" applyBorder="1" applyAlignment="1">
      <alignment horizontal="center" vertical="center"/>
    </xf>
    <xf numFmtId="0" fontId="0" fillId="0" borderId="4" xfId="0" applyBorder="1" applyAlignment="1">
      <alignment horizontal="center" vertical="center"/>
    </xf>
    <xf numFmtId="0" fontId="0" fillId="0" borderId="0" xfId="0" applyAlignment="1">
      <alignment wrapText="1"/>
    </xf>
    <xf numFmtId="0" fontId="0" fillId="0" borderId="0" xfId="0" applyAlignment="1">
      <alignment horizontal="left" vertical="center"/>
    </xf>
    <xf numFmtId="0" fontId="0" fillId="0" borderId="6" xfId="0" applyBorder="1" applyAlignment="1">
      <alignment horizontal="center"/>
    </xf>
    <xf numFmtId="0" fontId="0" fillId="0" borderId="5" xfId="0" applyBorder="1" applyAlignment="1">
      <alignment horizontal="center"/>
    </xf>
    <xf numFmtId="0" fontId="0" fillId="0" borderId="14" xfId="0" applyBorder="1" applyAlignment="1">
      <alignment horizontal="center"/>
    </xf>
    <xf numFmtId="2" fontId="0" fillId="0" borderId="5" xfId="0" applyNumberFormat="1" applyBorder="1" applyAlignment="1">
      <alignment horizontal="center"/>
    </xf>
    <xf numFmtId="0" fontId="34" fillId="4" borderId="0" xfId="0" applyFont="1" applyFill="1" applyAlignment="1">
      <alignment horizontal="center"/>
    </xf>
    <xf numFmtId="0" fontId="28" fillId="4" borderId="0" xfId="0" applyFont="1" applyFill="1" applyAlignment="1">
      <alignment horizontal="center"/>
    </xf>
    <xf numFmtId="0" fontId="4" fillId="2" borderId="0" xfId="0" applyFont="1" applyFill="1" applyAlignment="1">
      <alignment horizontal="center" vertical="center"/>
    </xf>
    <xf numFmtId="0" fontId="0" fillId="4" borderId="0" xfId="0" applyFill="1"/>
    <xf numFmtId="0" fontId="4" fillId="4" borderId="0" xfId="0" applyFont="1" applyFill="1" applyAlignment="1">
      <alignment horizontal="center" wrapText="1"/>
    </xf>
    <xf numFmtId="0" fontId="4" fillId="4" borderId="0" xfId="0" applyFont="1" applyFill="1" applyAlignment="1">
      <alignment horizontal="center"/>
    </xf>
    <xf numFmtId="0" fontId="0" fillId="4" borderId="0" xfId="0" applyFill="1" applyAlignment="1">
      <alignment horizontal="center"/>
    </xf>
    <xf numFmtId="0" fontId="0" fillId="0" borderId="20" xfId="0" applyBorder="1" applyAlignment="1">
      <alignment horizontal="center"/>
    </xf>
    <xf numFmtId="0" fontId="21" fillId="3" borderId="5" xfId="0" applyFont="1" applyFill="1" applyBorder="1" applyAlignment="1">
      <alignment horizontal="center" vertical="center"/>
    </xf>
    <xf numFmtId="2" fontId="0" fillId="0" borderId="5" xfId="0" applyNumberFormat="1" applyBorder="1" applyAlignment="1">
      <alignment horizontal="center" vertical="center"/>
    </xf>
    <xf numFmtId="0" fontId="21" fillId="3" borderId="15" xfId="0" applyFont="1" applyFill="1" applyBorder="1" applyAlignment="1">
      <alignment horizontal="center" vertical="center"/>
    </xf>
    <xf numFmtId="0" fontId="21" fillId="3" borderId="11" xfId="0" applyFont="1" applyFill="1" applyBorder="1" applyAlignment="1">
      <alignment horizontal="center" vertical="center"/>
    </xf>
    <xf numFmtId="0" fontId="0" fillId="0" borderId="3" xfId="0" applyBorder="1" applyAlignment="1">
      <alignment horizontal="center" vertical="center"/>
    </xf>
    <xf numFmtId="0" fontId="0" fillId="0" borderId="21" xfId="0" applyBorder="1" applyAlignment="1">
      <alignment horizontal="center" vertical="center"/>
    </xf>
    <xf numFmtId="0" fontId="0" fillId="0" borderId="14" xfId="0" applyBorder="1" applyAlignment="1">
      <alignment horizontal="center" vertical="center"/>
    </xf>
    <xf numFmtId="2" fontId="0" fillId="0" borderId="15" xfId="0" applyNumberFormat="1" applyBorder="1" applyAlignment="1">
      <alignment horizontal="center" vertical="center"/>
    </xf>
    <xf numFmtId="2" fontId="0" fillId="0" borderId="22" xfId="0" applyNumberFormat="1" applyBorder="1" applyAlignment="1">
      <alignment horizontal="center" vertical="center"/>
    </xf>
    <xf numFmtId="0" fontId="21" fillId="3" borderId="10" xfId="0" applyFont="1" applyFill="1" applyBorder="1" applyAlignment="1">
      <alignment horizontal="center" vertical="center"/>
    </xf>
    <xf numFmtId="0" fontId="34" fillId="2" borderId="12" xfId="0" applyFont="1" applyFill="1" applyBorder="1" applyAlignment="1">
      <alignment horizontal="center" wrapText="1"/>
    </xf>
    <xf numFmtId="0" fontId="34" fillId="2" borderId="13" xfId="0" applyFont="1" applyFill="1" applyBorder="1" applyAlignment="1">
      <alignment horizontal="center"/>
    </xf>
    <xf numFmtId="0" fontId="21" fillId="3" borderId="13" xfId="0" applyFont="1" applyFill="1" applyBorder="1" applyAlignment="1">
      <alignment horizontal="center" vertical="center"/>
    </xf>
    <xf numFmtId="0" fontId="21" fillId="0" borderId="8" xfId="0" applyFont="1" applyBorder="1"/>
    <xf numFmtId="0" fontId="21" fillId="0" borderId="10" xfId="0" applyFont="1" applyBorder="1"/>
    <xf numFmtId="2" fontId="0" fillId="0" borderId="5" xfId="0" applyNumberFormat="1" applyBorder="1"/>
    <xf numFmtId="2" fontId="0" fillId="0" borderId="14" xfId="0" applyNumberFormat="1" applyBorder="1"/>
    <xf numFmtId="0" fontId="21" fillId="0" borderId="3" xfId="0" applyFont="1" applyBorder="1"/>
    <xf numFmtId="0" fontId="44" fillId="2" borderId="12" xfId="0" applyFont="1" applyFill="1" applyBorder="1" applyAlignment="1">
      <alignment horizontal="center" vertical="center"/>
    </xf>
    <xf numFmtId="2" fontId="0" fillId="0" borderId="11" xfId="0" applyNumberFormat="1" applyBorder="1"/>
    <xf numFmtId="2" fontId="21" fillId="3" borderId="5" xfId="0" applyNumberFormat="1" applyFont="1" applyFill="1" applyBorder="1" applyAlignment="1">
      <alignment horizontal="center" vertical="center"/>
    </xf>
    <xf numFmtId="0" fontId="0" fillId="0" borderId="3" xfId="0" applyBorder="1" applyAlignment="1">
      <alignment horizontal="center" wrapText="1"/>
    </xf>
    <xf numFmtId="0" fontId="0" fillId="0" borderId="10" xfId="0" applyBorder="1" applyAlignment="1">
      <alignment horizontal="center" vertical="center"/>
    </xf>
    <xf numFmtId="2" fontId="21" fillId="4" borderId="5" xfId="0" applyNumberFormat="1" applyFont="1" applyFill="1" applyBorder="1" applyAlignment="1">
      <alignment horizontal="center" vertical="center"/>
    </xf>
    <xf numFmtId="0" fontId="34" fillId="2" borderId="0" xfId="0" applyFont="1" applyFill="1" applyAlignment="1">
      <alignment horizontal="center" vertical="center" wrapText="1"/>
    </xf>
    <xf numFmtId="0" fontId="21" fillId="0" borderId="5" xfId="0" applyFont="1" applyBorder="1" applyAlignment="1">
      <alignment horizontal="center" vertical="center"/>
    </xf>
    <xf numFmtId="2" fontId="0" fillId="0" borderId="4" xfId="0" applyNumberFormat="1" applyBorder="1" applyAlignment="1">
      <alignment horizontal="center"/>
    </xf>
    <xf numFmtId="2" fontId="0" fillId="0" borderId="22" xfId="0" applyNumberFormat="1" applyBorder="1" applyAlignment="1">
      <alignment horizontal="center"/>
    </xf>
    <xf numFmtId="2" fontId="0" fillId="0" borderId="14" xfId="0" applyNumberFormat="1" applyBorder="1" applyAlignment="1">
      <alignment horizontal="center"/>
    </xf>
    <xf numFmtId="2" fontId="0" fillId="0" borderId="7" xfId="0" applyNumberFormat="1" applyBorder="1" applyAlignment="1">
      <alignment horizontal="center"/>
    </xf>
    <xf numFmtId="0" fontId="0" fillId="3" borderId="12" xfId="0" applyFill="1" applyBorder="1"/>
    <xf numFmtId="0" fontId="0" fillId="3" borderId="7" xfId="0" applyFill="1" applyBorder="1"/>
    <xf numFmtId="0" fontId="0" fillId="3" borderId="0" xfId="0" applyFill="1"/>
    <xf numFmtId="0" fontId="0" fillId="3" borderId="9" xfId="0" applyFill="1" applyBorder="1"/>
    <xf numFmtId="0" fontId="0" fillId="3" borderId="13" xfId="0" applyFill="1" applyBorder="1"/>
    <xf numFmtId="0" fontId="0" fillId="3" borderId="11" xfId="0" applyFill="1" applyBorder="1"/>
    <xf numFmtId="2" fontId="0" fillId="0" borderId="3" xfId="0" applyNumberFormat="1" applyBorder="1" applyAlignment="1">
      <alignment horizontal="center"/>
    </xf>
    <xf numFmtId="2" fontId="0" fillId="0" borderId="8" xfId="0" applyNumberFormat="1" applyBorder="1" applyAlignment="1">
      <alignment horizontal="center"/>
    </xf>
    <xf numFmtId="2" fontId="0" fillId="0" borderId="9" xfId="0" applyNumberFormat="1" applyBorder="1" applyAlignment="1">
      <alignment horizontal="center"/>
    </xf>
    <xf numFmtId="0" fontId="0" fillId="0" borderId="8" xfId="0" applyBorder="1" applyAlignment="1">
      <alignment horizontal="center"/>
    </xf>
    <xf numFmtId="2" fontId="0" fillId="0" borderId="6" xfId="0" applyNumberFormat="1" applyBorder="1" applyAlignment="1">
      <alignment horizontal="center"/>
    </xf>
    <xf numFmtId="0" fontId="0" fillId="5" borderId="6" xfId="0" applyFill="1" applyBorder="1"/>
    <xf numFmtId="0" fontId="50" fillId="5" borderId="10" xfId="0" applyFont="1" applyFill="1" applyBorder="1"/>
    <xf numFmtId="0" fontId="33" fillId="4" borderId="0" xfId="0" applyFont="1" applyFill="1"/>
    <xf numFmtId="0" fontId="33" fillId="4" borderId="0" xfId="0" applyFont="1" applyFill="1" applyAlignment="1">
      <alignment horizontal="center"/>
    </xf>
    <xf numFmtId="0" fontId="21" fillId="4" borderId="5" xfId="0" applyFont="1" applyFill="1" applyBorder="1" applyAlignment="1">
      <alignment horizontal="center" vertical="center"/>
    </xf>
    <xf numFmtId="0" fontId="24" fillId="0" borderId="0" xfId="0" applyFont="1" applyAlignment="1">
      <alignment vertical="top"/>
    </xf>
    <xf numFmtId="0" fontId="14" fillId="0" borderId="0" xfId="0" applyFont="1" applyAlignment="1">
      <alignment vertical="top" wrapText="1"/>
    </xf>
    <xf numFmtId="0" fontId="33" fillId="4" borderId="8" xfId="0" applyFont="1" applyFill="1" applyBorder="1" applyAlignment="1">
      <alignment horizontal="center"/>
    </xf>
    <xf numFmtId="0" fontId="33" fillId="4" borderId="9" xfId="0" applyFont="1" applyFill="1" applyBorder="1" applyAlignment="1">
      <alignment horizontal="center"/>
    </xf>
    <xf numFmtId="0" fontId="27" fillId="4" borderId="0" xfId="0" applyFont="1" applyFill="1"/>
    <xf numFmtId="0" fontId="0" fillId="0" borderId="0" xfId="0" applyAlignment="1">
      <alignment vertical="center"/>
    </xf>
    <xf numFmtId="0" fontId="0" fillId="2" borderId="26" xfId="0" applyFill="1" applyBorder="1"/>
    <xf numFmtId="0" fontId="0" fillId="0" borderId="24" xfId="0" applyBorder="1"/>
    <xf numFmtId="0" fontId="0" fillId="0" borderId="23" xfId="0" applyBorder="1"/>
    <xf numFmtId="0" fontId="0" fillId="2" borderId="25" xfId="0" applyFill="1" applyBorder="1"/>
    <xf numFmtId="0" fontId="0" fillId="2" borderId="1" xfId="0" applyFill="1" applyBorder="1"/>
    <xf numFmtId="0" fontId="0" fillId="2" borderId="2" xfId="0" applyFill="1" applyBorder="1"/>
    <xf numFmtId="0" fontId="0" fillId="2" borderId="27" xfId="0" applyFill="1" applyBorder="1"/>
    <xf numFmtId="0" fontId="3" fillId="0" borderId="0" xfId="0" applyFont="1" applyAlignment="1">
      <alignment wrapText="1"/>
    </xf>
    <xf numFmtId="0" fontId="0" fillId="2" borderId="23" xfId="0" applyFill="1" applyBorder="1"/>
    <xf numFmtId="0" fontId="0" fillId="4" borderId="25" xfId="0" applyFill="1" applyBorder="1"/>
    <xf numFmtId="0" fontId="0" fillId="0" borderId="28" xfId="0" applyBorder="1"/>
    <xf numFmtId="0" fontId="49" fillId="2" borderId="1" xfId="0" applyFont="1" applyFill="1" applyBorder="1"/>
    <xf numFmtId="0" fontId="0" fillId="4" borderId="26" xfId="0" applyFill="1" applyBorder="1"/>
    <xf numFmtId="0" fontId="1" fillId="0" borderId="0" xfId="0" applyFont="1" applyAlignment="1">
      <alignment horizontal="left" vertical="center"/>
    </xf>
    <xf numFmtId="0" fontId="58" fillId="0" borderId="0" xfId="0" applyFont="1" applyAlignment="1">
      <alignment wrapText="1"/>
    </xf>
    <xf numFmtId="0" fontId="1" fillId="0" borderId="0" xfId="0" applyFont="1" applyAlignment="1">
      <alignment vertical="center"/>
    </xf>
    <xf numFmtId="0" fontId="59" fillId="0" borderId="0" xfId="0" applyFont="1" applyAlignment="1">
      <alignment vertical="center"/>
    </xf>
    <xf numFmtId="0" fontId="0" fillId="0" borderId="30" xfId="0" applyBorder="1"/>
    <xf numFmtId="0" fontId="0" fillId="0" borderId="25" xfId="0" applyBorder="1"/>
    <xf numFmtId="0" fontId="45" fillId="2" borderId="5" xfId="0" applyFont="1" applyFill="1" applyBorder="1"/>
    <xf numFmtId="0" fontId="23" fillId="0" borderId="0" xfId="0" applyFont="1" applyAlignment="1">
      <alignment horizontal="left" vertical="top" wrapText="1"/>
    </xf>
    <xf numFmtId="0" fontId="34" fillId="4" borderId="0" xfId="0" applyFont="1" applyFill="1"/>
    <xf numFmtId="0" fontId="20" fillId="0" borderId="3" xfId="0" applyFont="1" applyBorder="1"/>
    <xf numFmtId="0" fontId="20" fillId="0" borderId="21" xfId="0" applyFont="1" applyBorder="1"/>
    <xf numFmtId="0" fontId="20" fillId="0" borderId="6" xfId="0" applyFont="1" applyBorder="1" applyAlignment="1">
      <alignment wrapText="1"/>
    </xf>
    <xf numFmtId="0" fontId="20" fillId="0" borderId="12" xfId="0" applyFont="1" applyBorder="1" applyAlignment="1">
      <alignment wrapText="1"/>
    </xf>
    <xf numFmtId="0" fontId="20" fillId="0" borderId="10" xfId="0" applyFont="1" applyBorder="1" applyAlignment="1">
      <alignment wrapText="1"/>
    </xf>
    <xf numFmtId="0" fontId="20" fillId="0" borderId="13" xfId="0" applyFont="1" applyBorder="1" applyAlignment="1">
      <alignment wrapText="1"/>
    </xf>
    <xf numFmtId="10" fontId="0" fillId="0" borderId="6" xfId="0" applyNumberFormat="1" applyBorder="1" applyAlignment="1">
      <alignment vertical="center"/>
    </xf>
    <xf numFmtId="10" fontId="0" fillId="0" borderId="12" xfId="0" applyNumberFormat="1" applyBorder="1" applyAlignment="1">
      <alignment vertical="center"/>
    </xf>
    <xf numFmtId="10" fontId="0" fillId="0" borderId="7" xfId="0" applyNumberFormat="1" applyBorder="1" applyAlignment="1">
      <alignment vertical="center"/>
    </xf>
    <xf numFmtId="10" fontId="0" fillId="0" borderId="13" xfId="0" applyNumberFormat="1" applyBorder="1" applyAlignment="1">
      <alignment vertical="center"/>
    </xf>
    <xf numFmtId="10" fontId="0" fillId="0" borderId="11" xfId="0" applyNumberFormat="1" applyBorder="1" applyAlignment="1">
      <alignment vertical="center"/>
    </xf>
    <xf numFmtId="10" fontId="0" fillId="0" borderId="3" xfId="0" applyNumberFormat="1" applyBorder="1"/>
    <xf numFmtId="10" fontId="0" fillId="0" borderId="21" xfId="0" applyNumberFormat="1" applyBorder="1"/>
    <xf numFmtId="0" fontId="17" fillId="0" borderId="0" xfId="0" applyFont="1"/>
    <xf numFmtId="0" fontId="28" fillId="2" borderId="0" xfId="0" applyFont="1" applyFill="1" applyAlignment="1">
      <alignment horizontal="center"/>
    </xf>
    <xf numFmtId="0" fontId="33" fillId="2" borderId="6" xfId="0" applyFont="1" applyFill="1" applyBorder="1" applyAlignment="1">
      <alignment horizontal="center"/>
    </xf>
    <xf numFmtId="0" fontId="33" fillId="2" borderId="12" xfId="0" applyFont="1" applyFill="1" applyBorder="1" applyAlignment="1">
      <alignment horizontal="center"/>
    </xf>
    <xf numFmtId="0" fontId="33" fillId="2" borderId="7" xfId="0" applyFont="1" applyFill="1" applyBorder="1" applyAlignment="1">
      <alignment horizontal="center"/>
    </xf>
    <xf numFmtId="0" fontId="33" fillId="2" borderId="0" xfId="0" applyFont="1" applyFill="1" applyAlignment="1">
      <alignment horizontal="center"/>
    </xf>
    <xf numFmtId="0" fontId="4" fillId="2" borderId="5"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5" xfId="0" applyFont="1" applyFill="1" applyBorder="1" applyAlignment="1">
      <alignment horizontal="center" wrapText="1"/>
    </xf>
    <xf numFmtId="0" fontId="5" fillId="2" borderId="5" xfId="0" applyFont="1" applyFill="1" applyBorder="1" applyAlignment="1">
      <alignment horizontal="center" vertical="center"/>
    </xf>
    <xf numFmtId="10" fontId="21" fillId="4" borderId="5" xfId="0" applyNumberFormat="1" applyFont="1" applyFill="1" applyBorder="1" applyAlignment="1">
      <alignment horizontal="center" vertical="center"/>
    </xf>
    <xf numFmtId="164" fontId="21" fillId="4" borderId="5" xfId="0" applyNumberFormat="1" applyFont="1" applyFill="1" applyBorder="1" applyAlignment="1">
      <alignment horizontal="center" vertical="center"/>
    </xf>
    <xf numFmtId="0" fontId="7" fillId="2" borderId="5" xfId="0" applyFont="1" applyFill="1" applyBorder="1" applyAlignment="1">
      <alignment horizontal="center" wrapText="1"/>
    </xf>
    <xf numFmtId="0" fontId="0" fillId="2" borderId="5" xfId="0" applyFill="1" applyBorder="1" applyAlignment="1">
      <alignment horizontal="center"/>
    </xf>
    <xf numFmtId="0" fontId="21" fillId="4" borderId="8" xfId="0" applyFont="1" applyFill="1" applyBorder="1" applyAlignment="1">
      <alignment horizontal="center" vertical="center"/>
    </xf>
    <xf numFmtId="0" fontId="21" fillId="4" borderId="9" xfId="0" applyFont="1" applyFill="1" applyBorder="1" applyAlignment="1">
      <alignment horizontal="center" vertical="center"/>
    </xf>
    <xf numFmtId="0" fontId="21" fillId="4" borderId="10" xfId="0" applyFont="1" applyFill="1" applyBorder="1" applyAlignment="1">
      <alignment horizontal="center" vertical="center"/>
    </xf>
    <xf numFmtId="0" fontId="21" fillId="4" borderId="11" xfId="0" applyFont="1" applyFill="1" applyBorder="1" applyAlignment="1">
      <alignment horizontal="center" vertical="center"/>
    </xf>
    <xf numFmtId="0" fontId="23" fillId="3" borderId="5" xfId="0" applyFont="1" applyFill="1" applyBorder="1" applyAlignment="1">
      <alignment horizontal="center" wrapText="1"/>
    </xf>
    <xf numFmtId="0" fontId="0" fillId="3" borderId="5" xfId="0" applyFill="1" applyBorder="1" applyAlignment="1">
      <alignment horizontal="center" wrapText="1"/>
    </xf>
    <xf numFmtId="0" fontId="54" fillId="3" borderId="5" xfId="0" applyFont="1" applyFill="1" applyBorder="1" applyAlignment="1">
      <alignment horizontal="center"/>
    </xf>
    <xf numFmtId="0" fontId="63" fillId="3" borderId="5" xfId="0" applyFont="1" applyFill="1" applyBorder="1" applyAlignment="1">
      <alignment horizontal="center" vertical="center"/>
    </xf>
    <xf numFmtId="0" fontId="64" fillId="3" borderId="5" xfId="0" applyFont="1" applyFill="1" applyBorder="1" applyAlignment="1">
      <alignment horizontal="center" vertical="center"/>
    </xf>
    <xf numFmtId="0" fontId="54" fillId="0" borderId="5" xfId="0" applyFont="1" applyBorder="1" applyAlignment="1">
      <alignment horizontal="left" vertical="top" wrapText="1"/>
    </xf>
    <xf numFmtId="0" fontId="14" fillId="0" borderId="8" xfId="0" applyFont="1" applyBorder="1" applyAlignment="1">
      <alignment horizontal="left" vertical="top" wrapText="1"/>
    </xf>
    <xf numFmtId="0" fontId="14" fillId="0" borderId="0" xfId="0" applyFont="1" applyAlignment="1">
      <alignment horizontal="left" vertical="top" wrapText="1"/>
    </xf>
    <xf numFmtId="0" fontId="14" fillId="0" borderId="9" xfId="0" applyFont="1" applyBorder="1" applyAlignment="1">
      <alignment horizontal="left" vertical="top" wrapText="1"/>
    </xf>
    <xf numFmtId="0" fontId="14" fillId="0" borderId="10" xfId="0" applyFont="1" applyBorder="1" applyAlignment="1">
      <alignment horizontal="left" vertical="top" wrapText="1"/>
    </xf>
    <xf numFmtId="0" fontId="14" fillId="0" borderId="13" xfId="0" applyFont="1" applyBorder="1" applyAlignment="1">
      <alignment horizontal="left" vertical="top" wrapText="1"/>
    </xf>
    <xf numFmtId="0" fontId="14" fillId="0" borderId="11" xfId="0" applyFont="1" applyBorder="1" applyAlignment="1">
      <alignment horizontal="left" vertical="top" wrapText="1"/>
    </xf>
    <xf numFmtId="0" fontId="55" fillId="2" borderId="5" xfId="0" applyFont="1" applyFill="1" applyBorder="1" applyAlignment="1">
      <alignment horizontal="center"/>
    </xf>
    <xf numFmtId="0" fontId="27" fillId="2" borderId="5" xfId="0" applyFont="1" applyFill="1" applyBorder="1" applyAlignment="1">
      <alignment horizontal="center"/>
    </xf>
    <xf numFmtId="0" fontId="4" fillId="2" borderId="5" xfId="0" applyFont="1" applyFill="1" applyBorder="1" applyAlignment="1">
      <alignment horizontal="center" wrapText="1"/>
    </xf>
    <xf numFmtId="0" fontId="4" fillId="2" borderId="5" xfId="0" applyFont="1" applyFill="1" applyBorder="1" applyAlignment="1">
      <alignment horizontal="center"/>
    </xf>
    <xf numFmtId="0" fontId="33" fillId="2" borderId="5" xfId="0" applyFont="1" applyFill="1" applyBorder="1" applyAlignment="1">
      <alignment horizontal="center"/>
    </xf>
    <xf numFmtId="0" fontId="53" fillId="0" borderId="0" xfId="0" applyFont="1" applyAlignment="1">
      <alignment horizontal="left"/>
    </xf>
    <xf numFmtId="0" fontId="0" fillId="0" borderId="0" xfId="0" applyAlignment="1">
      <alignment horizontal="left"/>
    </xf>
    <xf numFmtId="0" fontId="21" fillId="4" borderId="6" xfId="0" applyFont="1" applyFill="1" applyBorder="1" applyAlignment="1">
      <alignment horizontal="center" vertical="center"/>
    </xf>
    <xf numFmtId="0" fontId="21" fillId="4" borderId="7" xfId="0" applyFont="1" applyFill="1" applyBorder="1" applyAlignment="1">
      <alignment horizontal="center" vertical="center"/>
    </xf>
    <xf numFmtId="0" fontId="21" fillId="4" borderId="5" xfId="0" applyFont="1" applyFill="1" applyBorder="1" applyAlignment="1">
      <alignment horizontal="center" vertical="center"/>
    </xf>
    <xf numFmtId="0" fontId="59" fillId="6" borderId="29" xfId="0" applyFont="1" applyFill="1" applyBorder="1" applyAlignment="1">
      <alignment horizontal="center" vertical="center"/>
    </xf>
    <xf numFmtId="0" fontId="56" fillId="4" borderId="0" xfId="0" applyFont="1" applyFill="1" applyAlignment="1">
      <alignment horizontal="center" vertical="center" wrapText="1"/>
    </xf>
    <xf numFmtId="0" fontId="56" fillId="4" borderId="26" xfId="0" applyFont="1" applyFill="1" applyBorder="1" applyAlignment="1">
      <alignment horizontal="center" vertical="center" wrapText="1"/>
    </xf>
    <xf numFmtId="0" fontId="57"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wrapText="1"/>
    </xf>
    <xf numFmtId="0" fontId="1" fillId="0" borderId="0" xfId="0" applyFont="1" applyAlignment="1">
      <alignment horizontal="center"/>
    </xf>
    <xf numFmtId="0" fontId="0" fillId="0" borderId="0" xfId="0" applyAlignment="1">
      <alignment horizontal="center"/>
    </xf>
    <xf numFmtId="0" fontId="54" fillId="0" borderId="0" xfId="0" applyFont="1" applyAlignment="1">
      <alignment horizontal="center"/>
    </xf>
    <xf numFmtId="0" fontId="11" fillId="0" borderId="5" xfId="0" applyFont="1" applyBorder="1" applyAlignment="1">
      <alignment horizontal="center"/>
    </xf>
    <xf numFmtId="164" fontId="2" fillId="0" borderId="5" xfId="0" applyNumberFormat="1" applyFont="1" applyBorder="1" applyAlignment="1">
      <alignment horizontal="center"/>
    </xf>
    <xf numFmtId="164" fontId="12" fillId="0" borderId="5" xfId="0" applyNumberFormat="1" applyFont="1" applyBorder="1" applyAlignment="1">
      <alignment horizontal="center"/>
    </xf>
    <xf numFmtId="164" fontId="11" fillId="0" borderId="5" xfId="0" applyNumberFormat="1" applyFont="1" applyBorder="1" applyAlignment="1">
      <alignment horizontal="center"/>
    </xf>
    <xf numFmtId="0" fontId="9" fillId="2" borderId="0" xfId="0" applyFont="1" applyFill="1" applyAlignment="1">
      <alignment horizontal="center"/>
    </xf>
    <xf numFmtId="0" fontId="0" fillId="2" borderId="0" xfId="0" applyFill="1" applyAlignment="1">
      <alignment horizontal="center"/>
    </xf>
    <xf numFmtId="0" fontId="10" fillId="2" borderId="0" xfId="0" applyFont="1" applyFill="1" applyAlignment="1">
      <alignment horizontal="center"/>
    </xf>
    <xf numFmtId="0" fontId="7" fillId="2" borderId="0" xfId="0" applyFont="1" applyFill="1" applyAlignment="1">
      <alignment horizontal="center" wrapText="1"/>
    </xf>
    <xf numFmtId="0" fontId="4" fillId="2" borderId="0" xfId="0" applyFont="1" applyFill="1" applyAlignment="1">
      <alignment horizontal="center"/>
    </xf>
    <xf numFmtId="0" fontId="40" fillId="0" borderId="5" xfId="0" applyFont="1" applyBorder="1" applyAlignment="1">
      <alignment horizontal="center"/>
    </xf>
    <xf numFmtId="0" fontId="61" fillId="0" borderId="5" xfId="0" applyFont="1" applyBorder="1" applyAlignment="1">
      <alignment horizontal="center"/>
    </xf>
    <xf numFmtId="0" fontId="62" fillId="0" borderId="5" xfId="0" applyFont="1" applyBorder="1" applyAlignment="1">
      <alignment horizontal="center"/>
    </xf>
    <xf numFmtId="0" fontId="8" fillId="2" borderId="0" xfId="0" applyFont="1" applyFill="1" applyAlignment="1">
      <alignment horizontal="center"/>
    </xf>
    <xf numFmtId="0" fontId="5" fillId="2" borderId="0" xfId="0" applyFont="1" applyFill="1" applyAlignment="1">
      <alignment horizontal="center"/>
    </xf>
    <xf numFmtId="0" fontId="4" fillId="2" borderId="6" xfId="0" applyFont="1" applyFill="1" applyBorder="1" applyAlignment="1">
      <alignment horizontal="center"/>
    </xf>
    <xf numFmtId="0" fontId="4" fillId="2" borderId="12" xfId="0" applyFont="1" applyFill="1" applyBorder="1" applyAlignment="1">
      <alignment horizontal="center"/>
    </xf>
    <xf numFmtId="0" fontId="4" fillId="2" borderId="7" xfId="0" applyFont="1" applyFill="1" applyBorder="1" applyAlignment="1">
      <alignment horizontal="center"/>
    </xf>
    <xf numFmtId="0" fontId="4" fillId="2" borderId="1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0" fillId="2" borderId="7" xfId="0" applyFill="1" applyBorder="1" applyAlignment="1">
      <alignment horizontal="center"/>
    </xf>
    <xf numFmtId="0" fontId="0" fillId="0" borderId="6" xfId="0" applyBorder="1" applyAlignment="1">
      <alignment horizontal="center" wrapText="1"/>
    </xf>
    <xf numFmtId="0" fontId="0" fillId="0" borderId="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64" fontId="0" fillId="0" borderId="6" xfId="0" applyNumberFormat="1" applyBorder="1" applyAlignment="1">
      <alignment horizontal="center" vertical="center"/>
    </xf>
    <xf numFmtId="164" fontId="0" fillId="0" borderId="7" xfId="0" applyNumberFormat="1" applyBorder="1" applyAlignment="1">
      <alignment horizontal="center" vertical="center"/>
    </xf>
    <xf numFmtId="164" fontId="0" fillId="0" borderId="10" xfId="0" applyNumberFormat="1" applyBorder="1" applyAlignment="1">
      <alignment horizontal="center" vertical="center"/>
    </xf>
    <xf numFmtId="164" fontId="0" fillId="0" borderId="11" xfId="0" applyNumberFormat="1" applyBorder="1" applyAlignment="1">
      <alignment horizontal="center" vertical="center"/>
    </xf>
    <xf numFmtId="9" fontId="0" fillId="0" borderId="14" xfId="0" applyNumberFormat="1" applyBorder="1" applyAlignment="1">
      <alignment horizontal="center" vertical="center" wrapText="1"/>
    </xf>
    <xf numFmtId="9" fontId="0" fillId="0" borderId="15" xfId="0" applyNumberFormat="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164" fontId="0" fillId="3" borderId="6" xfId="0" applyNumberFormat="1" applyFill="1" applyBorder="1" applyAlignment="1">
      <alignment horizontal="center"/>
    </xf>
    <xf numFmtId="0" fontId="0" fillId="3" borderId="7" xfId="0" applyFill="1" applyBorder="1" applyAlignment="1">
      <alignment horizontal="center"/>
    </xf>
    <xf numFmtId="0" fontId="13" fillId="0" borderId="31" xfId="0" applyFont="1" applyBorder="1" applyAlignment="1">
      <alignment horizontal="left" wrapText="1"/>
    </xf>
    <xf numFmtId="0" fontId="0" fillId="0" borderId="32" xfId="0" applyBorder="1" applyAlignment="1">
      <alignment horizontal="left"/>
    </xf>
    <xf numFmtId="0" fontId="0" fillId="0" borderId="33" xfId="0" applyBorder="1" applyAlignment="1">
      <alignment horizontal="left"/>
    </xf>
    <xf numFmtId="0" fontId="0" fillId="0" borderId="34" xfId="0" applyBorder="1" applyAlignment="1">
      <alignment horizontal="left"/>
    </xf>
    <xf numFmtId="0" fontId="0" fillId="0" borderId="35" xfId="0" applyBorder="1" applyAlignment="1">
      <alignment horizontal="left"/>
    </xf>
    <xf numFmtId="0" fontId="0" fillId="0" borderId="36" xfId="0" applyBorder="1" applyAlignment="1">
      <alignment horizontal="left"/>
    </xf>
    <xf numFmtId="0" fontId="0" fillId="0" borderId="16" xfId="0" applyBorder="1" applyAlignment="1">
      <alignment horizontal="left"/>
    </xf>
    <xf numFmtId="0" fontId="0" fillId="0" borderId="37" xfId="0" applyBorder="1" applyAlignment="1">
      <alignment horizontal="left"/>
    </xf>
    <xf numFmtId="0" fontId="13" fillId="0" borderId="31" xfId="0" applyFont="1"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0" xfId="0" applyAlignment="1">
      <alignment horizontal="left" vertical="top" wrapText="1"/>
    </xf>
    <xf numFmtId="0" fontId="0" fillId="0" borderId="35" xfId="0" applyBorder="1" applyAlignment="1">
      <alignment horizontal="left" vertical="top" wrapText="1"/>
    </xf>
    <xf numFmtId="0" fontId="0" fillId="0" borderId="36" xfId="0" applyBorder="1" applyAlignment="1">
      <alignment horizontal="left" vertical="top" wrapText="1"/>
    </xf>
    <xf numFmtId="0" fontId="0" fillId="0" borderId="16" xfId="0" applyBorder="1" applyAlignment="1">
      <alignment horizontal="left" vertical="top" wrapText="1"/>
    </xf>
    <xf numFmtId="0" fontId="0" fillId="0" borderId="37" xfId="0" applyBorder="1" applyAlignment="1">
      <alignment horizontal="left" vertical="top" wrapText="1"/>
    </xf>
    <xf numFmtId="0" fontId="0" fillId="0" borderId="12" xfId="0" applyBorder="1" applyAlignment="1">
      <alignment horizontal="center"/>
    </xf>
    <xf numFmtId="0" fontId="0" fillId="0" borderId="13" xfId="0" applyBorder="1" applyAlignment="1">
      <alignment horizontal="center"/>
    </xf>
    <xf numFmtId="0" fontId="0" fillId="0" borderId="7"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3" borderId="6" xfId="0" applyFill="1" applyBorder="1" applyAlignment="1">
      <alignment horizontal="center"/>
    </xf>
    <xf numFmtId="0" fontId="0" fillId="3" borderId="12" xfId="0" applyFill="1" applyBorder="1" applyAlignment="1">
      <alignment horizontal="center"/>
    </xf>
    <xf numFmtId="2" fontId="0" fillId="0" borderId="3" xfId="0" applyNumberFormat="1" applyBorder="1" applyAlignment="1">
      <alignment horizontal="center"/>
    </xf>
    <xf numFmtId="2" fontId="0" fillId="0" borderId="4" xfId="0" applyNumberFormat="1" applyBorder="1" applyAlignment="1">
      <alignment horizontal="center"/>
    </xf>
    <xf numFmtId="2" fontId="21" fillId="3" borderId="3" xfId="0" applyNumberFormat="1" applyFont="1" applyFill="1" applyBorder="1" applyAlignment="1">
      <alignment horizontal="center"/>
    </xf>
    <xf numFmtId="2" fontId="21" fillId="3" borderId="4" xfId="0" applyNumberFormat="1" applyFont="1" applyFill="1" applyBorder="1" applyAlignment="1">
      <alignment horizontal="center"/>
    </xf>
    <xf numFmtId="10" fontId="21" fillId="0" borderId="5" xfId="0" applyNumberFormat="1" applyFont="1" applyBorder="1" applyAlignment="1">
      <alignment horizontal="center"/>
    </xf>
    <xf numFmtId="2" fontId="21" fillId="0" borderId="3" xfId="0" applyNumberFormat="1" applyFont="1" applyBorder="1" applyAlignment="1">
      <alignment horizontal="center"/>
    </xf>
    <xf numFmtId="2" fontId="21" fillId="0" borderId="4" xfId="0" applyNumberFormat="1" applyFont="1" applyBorder="1" applyAlignment="1">
      <alignment horizontal="center"/>
    </xf>
    <xf numFmtId="2" fontId="0" fillId="0" borderId="5" xfId="0" applyNumberFormat="1" applyBorder="1" applyAlignment="1">
      <alignment horizontal="center"/>
    </xf>
    <xf numFmtId="0" fontId="0" fillId="0" borderId="5" xfId="0" applyBorder="1" applyAlignment="1">
      <alignment horizontal="center"/>
    </xf>
    <xf numFmtId="0" fontId="21" fillId="3" borderId="5" xfId="0" applyFont="1" applyFill="1" applyBorder="1" applyAlignment="1">
      <alignment horizontal="center"/>
    </xf>
    <xf numFmtId="0" fontId="20" fillId="3" borderId="5" xfId="0" applyFont="1" applyFill="1" applyBorder="1" applyAlignment="1">
      <alignment horizontal="center"/>
    </xf>
    <xf numFmtId="0" fontId="0" fillId="3" borderId="5" xfId="0" applyFill="1" applyBorder="1" applyAlignment="1">
      <alignment horizontal="center"/>
    </xf>
    <xf numFmtId="0" fontId="26" fillId="0" borderId="5" xfId="0" applyFont="1" applyBorder="1" applyAlignment="1">
      <alignment horizontal="center"/>
    </xf>
    <xf numFmtId="0" fontId="21" fillId="0" borderId="5" xfId="0" applyFont="1" applyBorder="1" applyAlignment="1">
      <alignment horizontal="center"/>
    </xf>
    <xf numFmtId="0" fontId="22" fillId="0" borderId="5" xfId="0" applyFont="1" applyBorder="1" applyAlignment="1">
      <alignment horizontal="center"/>
    </xf>
    <xf numFmtId="0" fontId="25" fillId="2" borderId="5" xfId="0" applyFont="1" applyFill="1" applyBorder="1" applyAlignment="1">
      <alignment horizontal="center"/>
    </xf>
    <xf numFmtId="0" fontId="24" fillId="2" borderId="5" xfId="0" applyFont="1" applyFill="1" applyBorder="1" applyAlignment="1">
      <alignment horizontal="center"/>
    </xf>
    <xf numFmtId="0" fontId="19" fillId="2" borderId="5" xfId="0" applyFont="1" applyFill="1" applyBorder="1" applyAlignment="1">
      <alignment horizontal="center"/>
    </xf>
    <xf numFmtId="2" fontId="22" fillId="0" borderId="3" xfId="0" applyNumberFormat="1" applyFont="1" applyBorder="1" applyAlignment="1">
      <alignment horizontal="center"/>
    </xf>
    <xf numFmtId="2" fontId="22" fillId="0" borderId="4" xfId="0" applyNumberFormat="1" applyFont="1" applyBorder="1" applyAlignment="1">
      <alignment horizontal="center"/>
    </xf>
    <xf numFmtId="2" fontId="21" fillId="0" borderId="5" xfId="0" applyNumberFormat="1" applyFont="1" applyBorder="1" applyAlignment="1">
      <alignment horizontal="center"/>
    </xf>
    <xf numFmtId="0" fontId="32" fillId="2" borderId="0" xfId="0" applyFont="1" applyFill="1" applyAlignment="1">
      <alignment horizontal="center"/>
    </xf>
    <xf numFmtId="0" fontId="16" fillId="0" borderId="0" xfId="0" applyFont="1" applyAlignment="1">
      <alignment horizontal="center"/>
    </xf>
    <xf numFmtId="0" fontId="18" fillId="2" borderId="5" xfId="0" applyFont="1" applyFill="1" applyBorder="1" applyAlignment="1">
      <alignment horizontal="center"/>
    </xf>
    <xf numFmtId="2" fontId="17" fillId="0" borderId="3" xfId="0" applyNumberFormat="1" applyFont="1" applyBorder="1" applyAlignment="1">
      <alignment horizontal="center"/>
    </xf>
    <xf numFmtId="2" fontId="17" fillId="0" borderId="4" xfId="0" applyNumberFormat="1" applyFont="1" applyBorder="1" applyAlignment="1">
      <alignment horizontal="center"/>
    </xf>
    <xf numFmtId="0" fontId="4" fillId="2" borderId="3" xfId="0" applyFont="1" applyFill="1" applyBorder="1" applyAlignment="1">
      <alignment horizontal="center"/>
    </xf>
    <xf numFmtId="0" fontId="4" fillId="2" borderId="21" xfId="0" applyFont="1" applyFill="1" applyBorder="1" applyAlignment="1">
      <alignment horizontal="center"/>
    </xf>
    <xf numFmtId="0" fontId="4" fillId="2" borderId="4" xfId="0" applyFont="1" applyFill="1" applyBorder="1" applyAlignment="1">
      <alignment horizontal="center"/>
    </xf>
    <xf numFmtId="10" fontId="0" fillId="0" borderId="3" xfId="0" applyNumberFormat="1" applyBorder="1" applyAlignment="1">
      <alignment horizontal="center"/>
    </xf>
    <xf numFmtId="10" fontId="0" fillId="0" borderId="21" xfId="0" applyNumberFormat="1" applyBorder="1" applyAlignment="1">
      <alignment horizontal="center"/>
    </xf>
    <xf numFmtId="10" fontId="0" fillId="0" borderId="4" xfId="0" applyNumberFormat="1" applyBorder="1" applyAlignment="1">
      <alignment horizontal="center"/>
    </xf>
    <xf numFmtId="0" fontId="0" fillId="0" borderId="8" xfId="0" applyBorder="1" applyAlignment="1">
      <alignment horizontal="center" wrapText="1"/>
    </xf>
    <xf numFmtId="0" fontId="0" fillId="0" borderId="9" xfId="0" applyBorder="1" applyAlignment="1">
      <alignment horizontal="center" wrapText="1"/>
    </xf>
    <xf numFmtId="0" fontId="31" fillId="2" borderId="0" xfId="0" applyFont="1" applyFill="1" applyAlignment="1">
      <alignment horizontal="center"/>
    </xf>
    <xf numFmtId="9" fontId="0" fillId="0" borderId="5" xfId="0" applyNumberFormat="1" applyBorder="1" applyAlignment="1">
      <alignment horizontal="center"/>
    </xf>
    <xf numFmtId="9" fontId="0" fillId="0" borderId="4" xfId="0" applyNumberFormat="1" applyBorder="1" applyAlignment="1">
      <alignment horizontal="center"/>
    </xf>
    <xf numFmtId="0" fontId="27" fillId="2" borderId="0" xfId="0" applyFont="1" applyFill="1" applyAlignment="1">
      <alignment horizontal="center"/>
    </xf>
    <xf numFmtId="2" fontId="0" fillId="0" borderId="6" xfId="0" applyNumberFormat="1" applyBorder="1" applyAlignment="1">
      <alignment horizontal="center" vertical="center"/>
    </xf>
    <xf numFmtId="2" fontId="0" fillId="0" borderId="7" xfId="0" applyNumberFormat="1" applyBorder="1" applyAlignment="1">
      <alignment horizontal="center" vertical="center"/>
    </xf>
    <xf numFmtId="2" fontId="0" fillId="0" borderId="10" xfId="0" applyNumberFormat="1" applyBorder="1" applyAlignment="1">
      <alignment horizontal="center" vertical="center"/>
    </xf>
    <xf numFmtId="2" fontId="0" fillId="0" borderId="11" xfId="0" applyNumberFormat="1" applyBorder="1" applyAlignment="1">
      <alignment horizontal="center" vertical="center"/>
    </xf>
    <xf numFmtId="0" fontId="23" fillId="3" borderId="3" xfId="0" applyFont="1" applyFill="1" applyBorder="1" applyAlignment="1">
      <alignment horizontal="center"/>
    </xf>
    <xf numFmtId="0" fontId="23" fillId="3" borderId="21" xfId="0" applyFont="1" applyFill="1" applyBorder="1" applyAlignment="1">
      <alignment horizontal="center"/>
    </xf>
    <xf numFmtId="0" fontId="23" fillId="3" borderId="4" xfId="0" applyFont="1" applyFill="1" applyBorder="1" applyAlignment="1">
      <alignment horizontal="center"/>
    </xf>
    <xf numFmtId="10" fontId="21" fillId="3" borderId="3" xfId="0" applyNumberFormat="1" applyFont="1" applyFill="1" applyBorder="1" applyAlignment="1">
      <alignment horizontal="center"/>
    </xf>
    <xf numFmtId="10" fontId="21" fillId="3" borderId="21" xfId="0" applyNumberFormat="1" applyFont="1" applyFill="1" applyBorder="1" applyAlignment="1">
      <alignment horizontal="center"/>
    </xf>
    <xf numFmtId="10" fontId="21" fillId="3" borderId="4" xfId="0" applyNumberFormat="1" applyFont="1" applyFill="1" applyBorder="1" applyAlignment="1">
      <alignment horizontal="center"/>
    </xf>
    <xf numFmtId="10" fontId="0" fillId="0" borderId="6" xfId="0" applyNumberFormat="1" applyBorder="1" applyAlignment="1">
      <alignment horizontal="center" vertical="center"/>
    </xf>
    <xf numFmtId="10" fontId="0" fillId="0" borderId="12" xfId="0" applyNumberFormat="1" applyBorder="1" applyAlignment="1">
      <alignment horizontal="center" vertical="center"/>
    </xf>
    <xf numFmtId="10" fontId="0" fillId="0" borderId="7" xfId="0" applyNumberFormat="1" applyBorder="1" applyAlignment="1">
      <alignment horizontal="center" vertical="center"/>
    </xf>
    <xf numFmtId="10" fontId="0" fillId="0" borderId="10" xfId="0" applyNumberFormat="1" applyBorder="1" applyAlignment="1">
      <alignment horizontal="center" vertical="center"/>
    </xf>
    <xf numFmtId="10" fontId="0" fillId="0" borderId="13" xfId="0" applyNumberFormat="1" applyBorder="1" applyAlignment="1">
      <alignment horizontal="center" vertical="center"/>
    </xf>
    <xf numFmtId="10" fontId="0" fillId="0" borderId="11" xfId="0" applyNumberFormat="1" applyBorder="1" applyAlignment="1">
      <alignment horizontal="center" vertical="center"/>
    </xf>
    <xf numFmtId="9" fontId="0" fillId="0" borderId="5" xfId="0" applyNumberFormat="1" applyBorder="1" applyAlignment="1">
      <alignment horizontal="center" vertical="center"/>
    </xf>
    <xf numFmtId="0" fontId="0" fillId="0" borderId="5" xfId="0" applyBorder="1" applyAlignment="1">
      <alignment horizontal="center" vertical="center"/>
    </xf>
    <xf numFmtId="9" fontId="0" fillId="0" borderId="4" xfId="0" applyNumberFormat="1" applyBorder="1" applyAlignment="1">
      <alignment horizontal="center" vertical="center"/>
    </xf>
    <xf numFmtId="0" fontId="0" fillId="0" borderId="4" xfId="0" applyBorder="1" applyAlignment="1">
      <alignment horizontal="center" vertical="center"/>
    </xf>
    <xf numFmtId="0" fontId="20" fillId="0" borderId="3" xfId="0" applyFont="1" applyBorder="1" applyAlignment="1">
      <alignment horizontal="center"/>
    </xf>
    <xf numFmtId="0" fontId="20" fillId="0" borderId="21" xfId="0" applyFont="1" applyBorder="1" applyAlignment="1">
      <alignment horizontal="center"/>
    </xf>
    <xf numFmtId="0" fontId="20" fillId="0" borderId="4" xfId="0" applyFont="1" applyBorder="1" applyAlignment="1">
      <alignment horizontal="center"/>
    </xf>
    <xf numFmtId="0" fontId="20" fillId="0" borderId="6" xfId="0" applyFont="1" applyBorder="1" applyAlignment="1">
      <alignment horizontal="center" wrapText="1"/>
    </xf>
    <xf numFmtId="0" fontId="20" fillId="0" borderId="12" xfId="0" applyFont="1" applyBorder="1" applyAlignment="1">
      <alignment horizontal="center" wrapText="1"/>
    </xf>
    <xf numFmtId="0" fontId="20" fillId="0" borderId="7" xfId="0" applyFont="1" applyBorder="1" applyAlignment="1">
      <alignment horizontal="center" wrapText="1"/>
    </xf>
    <xf numFmtId="0" fontId="20" fillId="0" borderId="10" xfId="0" applyFont="1" applyBorder="1" applyAlignment="1">
      <alignment horizontal="center" wrapText="1"/>
    </xf>
    <xf numFmtId="0" fontId="20" fillId="0" borderId="13" xfId="0" applyFont="1" applyBorder="1" applyAlignment="1">
      <alignment horizontal="center" wrapText="1"/>
    </xf>
    <xf numFmtId="0" fontId="20" fillId="0" borderId="11" xfId="0" applyFont="1" applyBorder="1" applyAlignment="1">
      <alignment horizontal="center" wrapText="1"/>
    </xf>
    <xf numFmtId="0" fontId="29" fillId="0" borderId="5" xfId="0" applyFont="1" applyBorder="1" applyAlignment="1">
      <alignment horizontal="center"/>
    </xf>
    <xf numFmtId="0" fontId="20" fillId="0" borderId="5" xfId="0" applyFont="1" applyBorder="1" applyAlignment="1">
      <alignment horizontal="center"/>
    </xf>
    <xf numFmtId="0" fontId="26" fillId="0" borderId="5" xfId="0" applyFont="1" applyBorder="1" applyAlignment="1">
      <alignment horizontal="center" wrapText="1"/>
    </xf>
    <xf numFmtId="0" fontId="20" fillId="0" borderId="5" xfId="0" applyFont="1" applyBorder="1" applyAlignment="1">
      <alignment horizontal="center" wrapText="1"/>
    </xf>
    <xf numFmtId="0" fontId="0" fillId="0" borderId="5" xfId="0" applyBorder="1" applyAlignment="1">
      <alignment horizontal="center" wrapText="1"/>
    </xf>
    <xf numFmtId="0" fontId="20" fillId="3" borderId="0" xfId="0" applyFont="1" applyFill="1" applyAlignment="1">
      <alignment horizontal="center"/>
    </xf>
    <xf numFmtId="0" fontId="0" fillId="3" borderId="0" xfId="0" applyFill="1" applyAlignment="1">
      <alignment horizontal="center"/>
    </xf>
    <xf numFmtId="2" fontId="0" fillId="0" borderId="6" xfId="0" applyNumberFormat="1" applyBorder="1" applyAlignment="1">
      <alignment horizontal="center" vertical="center" wrapText="1"/>
    </xf>
    <xf numFmtId="2" fontId="0" fillId="0" borderId="7" xfId="0" applyNumberFormat="1" applyBorder="1" applyAlignment="1">
      <alignment horizontal="center" vertical="center" wrapText="1"/>
    </xf>
    <xf numFmtId="2" fontId="0" fillId="0" borderId="10" xfId="0" applyNumberFormat="1" applyBorder="1" applyAlignment="1">
      <alignment horizontal="center" vertical="center" wrapText="1"/>
    </xf>
    <xf numFmtId="2" fontId="0" fillId="0" borderId="11" xfId="0" applyNumberFormat="1" applyBorder="1" applyAlignment="1">
      <alignment horizontal="center" vertical="center" wrapText="1"/>
    </xf>
    <xf numFmtId="0" fontId="21" fillId="0" borderId="0" xfId="0" applyFont="1" applyAlignment="1">
      <alignment horizontal="center" wrapText="1"/>
    </xf>
    <xf numFmtId="10" fontId="35" fillId="3" borderId="3" xfId="0" applyNumberFormat="1" applyFont="1" applyFill="1" applyBorder="1" applyAlignment="1">
      <alignment horizontal="center"/>
    </xf>
    <xf numFmtId="10" fontId="35" fillId="3" borderId="4" xfId="0" applyNumberFormat="1" applyFont="1" applyFill="1" applyBorder="1" applyAlignment="1">
      <alignment horizontal="center"/>
    </xf>
    <xf numFmtId="0" fontId="34" fillId="2" borderId="0" xfId="0" applyFont="1" applyFill="1" applyAlignment="1">
      <alignment horizontal="center" wrapText="1"/>
    </xf>
    <xf numFmtId="0" fontId="34" fillId="2" borderId="0" xfId="0" applyFont="1" applyFill="1" applyAlignment="1">
      <alignment horizontal="center"/>
    </xf>
    <xf numFmtId="0" fontId="20" fillId="0" borderId="0" xfId="0" applyFont="1" applyAlignment="1">
      <alignment horizontal="center"/>
    </xf>
    <xf numFmtId="0" fontId="0" fillId="0" borderId="0" xfId="0" applyAlignment="1">
      <alignment horizontal="center" wrapText="1"/>
    </xf>
    <xf numFmtId="10" fontId="0" fillId="3" borderId="5" xfId="0" applyNumberFormat="1" applyFill="1" applyBorder="1" applyAlignment="1">
      <alignment horizontal="center"/>
    </xf>
    <xf numFmtId="0" fontId="0" fillId="3" borderId="3" xfId="0" applyFill="1" applyBorder="1" applyAlignment="1">
      <alignment horizontal="center"/>
    </xf>
    <xf numFmtId="10" fontId="0" fillId="3" borderId="3" xfId="0" applyNumberFormat="1" applyFill="1" applyBorder="1" applyAlignment="1">
      <alignment horizontal="center"/>
    </xf>
    <xf numFmtId="0" fontId="33" fillId="2" borderId="0" xfId="0" applyFont="1" applyFill="1" applyAlignment="1">
      <alignment horizontal="center" wrapText="1"/>
    </xf>
    <xf numFmtId="9" fontId="0" fillId="3" borderId="5" xfId="0" applyNumberFormat="1" applyFill="1" applyBorder="1" applyAlignment="1">
      <alignment horizontal="center"/>
    </xf>
    <xf numFmtId="10" fontId="21" fillId="3" borderId="5" xfId="0" applyNumberFormat="1" applyFont="1" applyFill="1" applyBorder="1" applyAlignment="1">
      <alignment horizontal="center"/>
    </xf>
    <xf numFmtId="9" fontId="0" fillId="0" borderId="14" xfId="0" applyNumberFormat="1" applyBorder="1" applyAlignment="1">
      <alignment horizontal="center"/>
    </xf>
    <xf numFmtId="0" fontId="0" fillId="0" borderId="14" xfId="0" applyBorder="1" applyAlignment="1">
      <alignment horizontal="center"/>
    </xf>
    <xf numFmtId="10" fontId="35" fillId="3" borderId="5" xfId="0" applyNumberFormat="1" applyFont="1" applyFill="1" applyBorder="1" applyAlignment="1">
      <alignment horizontal="center"/>
    </xf>
    <xf numFmtId="0" fontId="35" fillId="3" borderId="5" xfId="0" applyFont="1" applyFill="1" applyBorder="1" applyAlignment="1">
      <alignment horizontal="center"/>
    </xf>
    <xf numFmtId="10" fontId="0" fillId="3" borderId="4" xfId="0" applyNumberFormat="1" applyFill="1" applyBorder="1" applyAlignment="1">
      <alignment horizontal="center"/>
    </xf>
    <xf numFmtId="0" fontId="30" fillId="2" borderId="0" xfId="0" applyFont="1" applyFill="1" applyAlignment="1">
      <alignment horizontal="center"/>
    </xf>
    <xf numFmtId="9" fontId="0" fillId="3" borderId="15" xfId="0" applyNumberFormat="1" applyFill="1" applyBorder="1" applyAlignment="1">
      <alignment horizontal="center"/>
    </xf>
    <xf numFmtId="10" fontId="0" fillId="0" borderId="0" xfId="0" applyNumberFormat="1" applyAlignment="1">
      <alignment horizontal="center"/>
    </xf>
    <xf numFmtId="9" fontId="0" fillId="3" borderId="5" xfId="0" applyNumberFormat="1" applyFill="1" applyBorder="1" applyAlignment="1">
      <alignment horizontal="center" vertical="center"/>
    </xf>
    <xf numFmtId="0" fontId="17" fillId="0" borderId="0" xfId="0" applyFont="1" applyAlignment="1">
      <alignment horizontal="center"/>
    </xf>
    <xf numFmtId="0" fontId="19" fillId="2" borderId="0" xfId="0" applyFont="1" applyFill="1" applyAlignment="1">
      <alignment horizontal="center"/>
    </xf>
    <xf numFmtId="0" fontId="36" fillId="0" borderId="5" xfId="0" applyFont="1" applyBorder="1" applyAlignment="1">
      <alignment horizontal="center"/>
    </xf>
    <xf numFmtId="2" fontId="21" fillId="3" borderId="0" xfId="0" applyNumberFormat="1" applyFont="1" applyFill="1" applyAlignment="1">
      <alignment horizontal="center"/>
    </xf>
    <xf numFmtId="0" fontId="21" fillId="3" borderId="0" xfId="0" applyFont="1" applyFill="1" applyAlignment="1">
      <alignment horizontal="center"/>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3" xfId="0" applyBorder="1" applyAlignment="1">
      <alignment horizontal="left" vertical="top" wrapText="1"/>
    </xf>
    <xf numFmtId="0" fontId="0" fillId="0" borderId="11" xfId="0" applyBorder="1" applyAlignment="1">
      <alignment horizontal="left" vertical="top" wrapText="1"/>
    </xf>
    <xf numFmtId="0" fontId="34" fillId="2" borderId="6" xfId="0" applyFont="1" applyFill="1" applyBorder="1" applyAlignment="1">
      <alignment horizontal="center"/>
    </xf>
    <xf numFmtId="0" fontId="34" fillId="2" borderId="12" xfId="0" applyFont="1" applyFill="1" applyBorder="1" applyAlignment="1">
      <alignment horizontal="center"/>
    </xf>
    <xf numFmtId="0" fontId="34" fillId="2" borderId="7" xfId="0" applyFont="1" applyFill="1" applyBorder="1" applyAlignment="1">
      <alignment horizontal="center"/>
    </xf>
    <xf numFmtId="0" fontId="0" fillId="0" borderId="0" xfId="0" applyAlignment="1">
      <alignment horizontal="left" vertical="top"/>
    </xf>
    <xf numFmtId="0" fontId="0" fillId="0" borderId="9" xfId="0" applyBorder="1" applyAlignment="1">
      <alignment horizontal="left" vertical="top"/>
    </xf>
    <xf numFmtId="0" fontId="0" fillId="0" borderId="8" xfId="0" applyBorder="1" applyAlignment="1">
      <alignment horizontal="left" vertical="top"/>
    </xf>
    <xf numFmtId="0" fontId="0" fillId="0" borderId="18"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21" fillId="3" borderId="4" xfId="0" applyFont="1" applyFill="1" applyBorder="1" applyAlignment="1">
      <alignment horizontal="center"/>
    </xf>
    <xf numFmtId="0" fontId="41" fillId="0" borderId="0" xfId="0" applyFont="1" applyAlignment="1">
      <alignment horizontal="center" vertical="center" textRotation="90"/>
    </xf>
    <xf numFmtId="0" fontId="0" fillId="0" borderId="0" xfId="0" applyAlignment="1">
      <alignment horizontal="center" vertical="center" textRotation="90"/>
    </xf>
    <xf numFmtId="0" fontId="41" fillId="0" borderId="0" xfId="0" applyFont="1" applyAlignment="1">
      <alignment horizontal="center"/>
    </xf>
    <xf numFmtId="0" fontId="21" fillId="0" borderId="0" xfId="0" applyFont="1" applyAlignment="1">
      <alignment horizontal="center"/>
    </xf>
    <xf numFmtId="0" fontId="21" fillId="0" borderId="14" xfId="0" applyFont="1" applyBorder="1" applyAlignment="1">
      <alignment horizontal="center"/>
    </xf>
    <xf numFmtId="0" fontId="37" fillId="0" borderId="5" xfId="0" applyFont="1" applyBorder="1" applyAlignment="1">
      <alignment horizontal="center"/>
    </xf>
    <xf numFmtId="17" fontId="0" fillId="0" borderId="5" xfId="0" applyNumberFormat="1" applyBorder="1" applyAlignment="1">
      <alignment horizontal="center"/>
    </xf>
    <xf numFmtId="17" fontId="0" fillId="0" borderId="4" xfId="0" applyNumberFormat="1" applyBorder="1" applyAlignment="1">
      <alignment horizontal="center"/>
    </xf>
    <xf numFmtId="0" fontId="36" fillId="0" borderId="4" xfId="0" applyFont="1" applyBorder="1" applyAlignment="1">
      <alignment horizontal="center"/>
    </xf>
    <xf numFmtId="2" fontId="36" fillId="0" borderId="5" xfId="0" applyNumberFormat="1" applyFont="1" applyBorder="1" applyAlignment="1">
      <alignment horizontal="center"/>
    </xf>
    <xf numFmtId="0" fontId="23" fillId="0" borderId="5" xfId="0" applyFont="1" applyBorder="1" applyAlignment="1">
      <alignment horizontal="center"/>
    </xf>
    <xf numFmtId="10" fontId="0" fillId="0" borderId="5" xfId="0" applyNumberFormat="1" applyBorder="1" applyAlignment="1">
      <alignment horizontal="center"/>
    </xf>
    <xf numFmtId="2" fontId="21" fillId="3" borderId="5" xfId="0" applyNumberFormat="1" applyFont="1" applyFill="1" applyBorder="1" applyAlignment="1">
      <alignment horizontal="center"/>
    </xf>
    <xf numFmtId="0" fontId="0" fillId="4" borderId="5" xfId="0" applyFill="1" applyBorder="1" applyAlignment="1">
      <alignment horizontal="center"/>
    </xf>
    <xf numFmtId="0" fontId="38" fillId="4" borderId="5" xfId="0" applyFont="1" applyFill="1" applyBorder="1" applyAlignment="1">
      <alignment horizontal="center"/>
    </xf>
    <xf numFmtId="0" fontId="19" fillId="2" borderId="6" xfId="0" applyFont="1" applyFill="1" applyBorder="1" applyAlignment="1">
      <alignment horizontal="center"/>
    </xf>
    <xf numFmtId="0" fontId="24" fillId="2" borderId="12" xfId="0" applyFont="1" applyFill="1" applyBorder="1" applyAlignment="1">
      <alignment horizontal="center"/>
    </xf>
    <xf numFmtId="0" fontId="24" fillId="2" borderId="7" xfId="0" applyFont="1" applyFill="1" applyBorder="1" applyAlignment="1">
      <alignment horizontal="center"/>
    </xf>
    <xf numFmtId="0" fontId="24" fillId="2" borderId="0" xfId="0" applyFont="1" applyFill="1" applyAlignment="1">
      <alignment horizontal="center"/>
    </xf>
    <xf numFmtId="0" fontId="0" fillId="0" borderId="6" xfId="0" applyBorder="1" applyAlignment="1">
      <alignment horizontal="center"/>
    </xf>
    <xf numFmtId="0" fontId="21" fillId="3" borderId="8" xfId="0" applyFont="1" applyFill="1" applyBorder="1" applyAlignment="1">
      <alignment horizontal="center"/>
    </xf>
    <xf numFmtId="10" fontId="39" fillId="3" borderId="5" xfId="0" applyNumberFormat="1" applyFont="1" applyFill="1" applyBorder="1" applyAlignment="1">
      <alignment horizontal="center"/>
    </xf>
    <xf numFmtId="0" fontId="37" fillId="3" borderId="5" xfId="0" applyFont="1" applyFill="1" applyBorder="1" applyAlignment="1">
      <alignment horizontal="center"/>
    </xf>
    <xf numFmtId="0" fontId="34" fillId="2" borderId="0" xfId="0" applyFont="1" applyFill="1" applyAlignment="1">
      <alignment horizontal="center" vertical="center"/>
    </xf>
    <xf numFmtId="0" fontId="34" fillId="2" borderId="5" xfId="0" applyFont="1" applyFill="1" applyBorder="1" applyAlignment="1">
      <alignment horizontal="center" wrapText="1"/>
    </xf>
    <xf numFmtId="0" fontId="34" fillId="2" borderId="5" xfId="0" applyFont="1" applyFill="1" applyBorder="1" applyAlignment="1">
      <alignment horizontal="center"/>
    </xf>
    <xf numFmtId="0" fontId="34" fillId="2" borderId="3" xfId="0" applyFont="1" applyFill="1" applyBorder="1" applyAlignment="1">
      <alignment horizontal="center" wrapText="1"/>
    </xf>
    <xf numFmtId="0" fontId="34" fillId="2" borderId="3" xfId="0" applyFont="1" applyFill="1" applyBorder="1" applyAlignment="1">
      <alignment horizontal="center"/>
    </xf>
    <xf numFmtId="0" fontId="34" fillId="2" borderId="12" xfId="0" applyFont="1" applyFill="1" applyBorder="1" applyAlignment="1">
      <alignment horizontal="center" wrapText="1"/>
    </xf>
    <xf numFmtId="0" fontId="34" fillId="2" borderId="13" xfId="0" applyFont="1" applyFill="1" applyBorder="1" applyAlignment="1">
      <alignment horizontal="center"/>
    </xf>
    <xf numFmtId="0" fontId="34" fillId="2" borderId="4" xfId="0" applyFont="1" applyFill="1" applyBorder="1" applyAlignment="1">
      <alignment horizontal="center" wrapText="1"/>
    </xf>
    <xf numFmtId="0" fontId="34" fillId="2" borderId="4" xfId="0" applyFont="1" applyFill="1" applyBorder="1" applyAlignment="1">
      <alignment horizontal="center"/>
    </xf>
    <xf numFmtId="0" fontId="21" fillId="3" borderId="3" xfId="0" applyFont="1" applyFill="1" applyBorder="1" applyAlignment="1">
      <alignment horizontal="center"/>
    </xf>
    <xf numFmtId="0" fontId="43" fillId="2" borderId="5" xfId="0" applyFont="1" applyFill="1" applyBorder="1" applyAlignment="1">
      <alignment horizontal="center" wrapText="1"/>
    </xf>
    <xf numFmtId="0" fontId="34" fillId="4" borderId="0" xfId="0" applyFont="1" applyFill="1" applyAlignment="1">
      <alignment horizontal="center"/>
    </xf>
    <xf numFmtId="0" fontId="34" fillId="2" borderId="4" xfId="0" applyFont="1" applyFill="1" applyBorder="1" applyAlignment="1">
      <alignment horizontal="center" vertical="center"/>
    </xf>
    <xf numFmtId="0" fontId="34" fillId="2" borderId="5" xfId="0" applyFont="1" applyFill="1" applyBorder="1" applyAlignment="1">
      <alignment horizontal="center" vertical="center"/>
    </xf>
    <xf numFmtId="0" fontId="44" fillId="2" borderId="6" xfId="0" applyFont="1" applyFill="1" applyBorder="1" applyAlignment="1">
      <alignment horizontal="center" vertical="center"/>
    </xf>
    <xf numFmtId="0" fontId="4" fillId="2" borderId="8" xfId="0" applyFont="1" applyFill="1" applyBorder="1" applyAlignment="1">
      <alignment horizontal="center" vertical="center"/>
    </xf>
    <xf numFmtId="0" fontId="46" fillId="0" borderId="19" xfId="0" applyFont="1" applyBorder="1" applyAlignment="1">
      <alignment horizontal="center" wrapText="1"/>
    </xf>
    <xf numFmtId="0" fontId="0" fillId="0" borderId="19" xfId="0" applyBorder="1" applyAlignment="1">
      <alignment horizontal="center"/>
    </xf>
    <xf numFmtId="0" fontId="34" fillId="2" borderId="20" xfId="0" applyFont="1" applyFill="1" applyBorder="1" applyAlignment="1">
      <alignment horizontal="center"/>
    </xf>
    <xf numFmtId="0" fontId="43" fillId="2" borderId="5" xfId="0" applyFont="1" applyFill="1" applyBorder="1" applyAlignment="1">
      <alignment horizontal="center" vertical="center"/>
    </xf>
    <xf numFmtId="0" fontId="45" fillId="2" borderId="5" xfId="0" applyFont="1" applyFill="1" applyBorder="1" applyAlignment="1">
      <alignment horizontal="center" wrapText="1"/>
    </xf>
    <xf numFmtId="0" fontId="45" fillId="2" borderId="14" xfId="0" applyFont="1" applyFill="1" applyBorder="1" applyAlignment="1">
      <alignment horizontal="center" wrapText="1"/>
    </xf>
    <xf numFmtId="0" fontId="4" fillId="2" borderId="0" xfId="0" applyFont="1" applyFill="1" applyAlignment="1">
      <alignment horizontal="center" wrapText="1"/>
    </xf>
    <xf numFmtId="0" fontId="48" fillId="5" borderId="6" xfId="0" applyFont="1" applyFill="1" applyBorder="1" applyAlignment="1">
      <alignment horizontal="center"/>
    </xf>
    <xf numFmtId="0" fontId="0" fillId="5" borderId="7" xfId="0" applyFill="1" applyBorder="1" applyAlignment="1">
      <alignment horizontal="center"/>
    </xf>
    <xf numFmtId="10" fontId="39" fillId="5" borderId="10" xfId="0" applyNumberFormat="1" applyFont="1" applyFill="1" applyBorder="1" applyAlignment="1">
      <alignment horizontal="center"/>
    </xf>
    <xf numFmtId="10" fontId="39" fillId="5" borderId="11" xfId="0" applyNumberFormat="1" applyFont="1" applyFill="1" applyBorder="1" applyAlignment="1">
      <alignment horizontal="center"/>
    </xf>
    <xf numFmtId="0" fontId="21" fillId="3" borderId="6" xfId="0" applyFont="1" applyFill="1" applyBorder="1" applyAlignment="1">
      <alignment horizontal="center" wrapText="1"/>
    </xf>
    <xf numFmtId="0" fontId="21" fillId="3" borderId="12" xfId="0" applyFont="1" applyFill="1" applyBorder="1" applyAlignment="1">
      <alignment horizontal="center" wrapText="1"/>
    </xf>
    <xf numFmtId="0" fontId="21" fillId="3" borderId="10" xfId="0" applyFont="1" applyFill="1" applyBorder="1" applyAlignment="1">
      <alignment horizontal="center" wrapText="1"/>
    </xf>
    <xf numFmtId="0" fontId="21" fillId="3" borderId="13" xfId="0" applyFont="1" applyFill="1" applyBorder="1" applyAlignment="1">
      <alignment horizontal="center" wrapText="1"/>
    </xf>
    <xf numFmtId="2" fontId="21" fillId="3" borderId="7" xfId="0" applyNumberFormat="1" applyFont="1" applyFill="1" applyBorder="1" applyAlignment="1">
      <alignment horizontal="center" vertical="center"/>
    </xf>
    <xf numFmtId="2" fontId="21" fillId="3" borderId="9" xfId="0" applyNumberFormat="1" applyFont="1" applyFill="1" applyBorder="1" applyAlignment="1">
      <alignment horizontal="center" vertical="center"/>
    </xf>
    <xf numFmtId="0" fontId="23" fillId="0" borderId="0" xfId="0" applyFont="1" applyAlignment="1">
      <alignment horizontal="left" vertical="top" wrapText="1"/>
    </xf>
    <xf numFmtId="0" fontId="47" fillId="5" borderId="6" xfId="0" applyFont="1" applyFill="1" applyBorder="1" applyAlignment="1">
      <alignment horizontal="center" vertical="center"/>
    </xf>
    <xf numFmtId="0" fontId="47" fillId="5" borderId="7" xfId="0" applyFont="1" applyFill="1" applyBorder="1" applyAlignment="1">
      <alignment horizontal="center" vertical="center"/>
    </xf>
    <xf numFmtId="0" fontId="47" fillId="5" borderId="10" xfId="0" applyFont="1" applyFill="1" applyBorder="1" applyAlignment="1">
      <alignment horizontal="center" vertical="center"/>
    </xf>
    <xf numFmtId="0" fontId="47" fillId="5" borderId="11" xfId="0" applyFont="1" applyFill="1" applyBorder="1" applyAlignment="1">
      <alignment horizontal="center" vertical="center"/>
    </xf>
    <xf numFmtId="0" fontId="16" fillId="5" borderId="12" xfId="0" applyFont="1" applyFill="1" applyBorder="1" applyAlignment="1">
      <alignment horizontal="center" wrapText="1"/>
    </xf>
    <xf numFmtId="0" fontId="0" fillId="5" borderId="12" xfId="0" applyFill="1" applyBorder="1" applyAlignment="1">
      <alignment horizontal="center"/>
    </xf>
    <xf numFmtId="0" fontId="0" fillId="5" borderId="13" xfId="0" applyFill="1" applyBorder="1" applyAlignment="1">
      <alignment horizontal="center"/>
    </xf>
    <xf numFmtId="0" fontId="48" fillId="5" borderId="12" xfId="0" applyFont="1" applyFill="1" applyBorder="1" applyAlignment="1">
      <alignment horizontal="center"/>
    </xf>
    <xf numFmtId="0" fontId="49" fillId="5" borderId="12" xfId="0" applyFont="1" applyFill="1" applyBorder="1" applyAlignment="1">
      <alignment horizontal="center"/>
    </xf>
    <xf numFmtId="8" fontId="42" fillId="5" borderId="13" xfId="0" applyNumberFormat="1" applyFont="1" applyFill="1" applyBorder="1" applyAlignment="1">
      <alignment horizontal="center"/>
    </xf>
    <xf numFmtId="0" fontId="42" fillId="5" borderId="13" xfId="0" applyFont="1" applyFill="1" applyBorder="1" applyAlignment="1">
      <alignment horizontal="center"/>
    </xf>
    <xf numFmtId="10" fontId="39" fillId="5" borderId="13" xfId="0" applyNumberFormat="1" applyFont="1" applyFill="1" applyBorder="1" applyAlignment="1">
      <alignment horizontal="center"/>
    </xf>
    <xf numFmtId="0" fontId="21" fillId="0" borderId="4" xfId="0" applyFont="1" applyBorder="1" applyAlignment="1">
      <alignment horizontal="center"/>
    </xf>
    <xf numFmtId="0" fontId="23" fillId="0" borderId="0" xfId="0" applyFont="1" applyAlignment="1">
      <alignment horizontal="left"/>
    </xf>
    <xf numFmtId="0" fontId="47" fillId="5" borderId="12" xfId="0" applyFont="1" applyFill="1" applyBorder="1" applyAlignment="1">
      <alignment horizontal="center" vertical="center"/>
    </xf>
    <xf numFmtId="0" fontId="47" fillId="5" borderId="13" xfId="0" applyFont="1" applyFill="1" applyBorder="1" applyAlignment="1">
      <alignment horizontal="center" vertical="center"/>
    </xf>
    <xf numFmtId="0" fontId="52" fillId="5" borderId="6" xfId="0" applyFont="1" applyFill="1" applyBorder="1" applyAlignment="1">
      <alignment horizontal="center" vertical="center" wrapText="1"/>
    </xf>
    <xf numFmtId="0" fontId="0" fillId="5" borderId="12" xfId="0" applyFill="1" applyBorder="1" applyAlignment="1">
      <alignment horizontal="center" vertical="center"/>
    </xf>
    <xf numFmtId="0" fontId="0" fillId="5" borderId="10" xfId="0" applyFill="1" applyBorder="1" applyAlignment="1">
      <alignment horizontal="center" vertical="center"/>
    </xf>
    <xf numFmtId="0" fontId="0" fillId="5" borderId="13" xfId="0" applyFill="1" applyBorder="1" applyAlignment="1">
      <alignment horizontal="center" vertical="center"/>
    </xf>
    <xf numFmtId="0" fontId="49" fillId="5" borderId="7" xfId="0" applyFont="1" applyFill="1" applyBorder="1" applyAlignment="1">
      <alignment horizontal="center"/>
    </xf>
    <xf numFmtId="8" fontId="42" fillId="5" borderId="10" xfId="0" applyNumberFormat="1" applyFont="1" applyFill="1" applyBorder="1" applyAlignment="1">
      <alignment horizontal="center"/>
    </xf>
    <xf numFmtId="0" fontId="42" fillId="5" borderId="11" xfId="0" applyFont="1" applyFill="1" applyBorder="1" applyAlignment="1">
      <alignment horizontal="center"/>
    </xf>
    <xf numFmtId="2" fontId="21" fillId="3" borderId="14" xfId="0" applyNumberFormat="1" applyFont="1" applyFill="1" applyBorder="1" applyAlignment="1">
      <alignment horizontal="center" vertical="center"/>
    </xf>
    <xf numFmtId="2" fontId="21" fillId="3" borderId="15" xfId="0" applyNumberFormat="1" applyFont="1" applyFill="1" applyBorder="1" applyAlignment="1">
      <alignment horizontal="center" vertical="center"/>
    </xf>
    <xf numFmtId="0" fontId="45" fillId="2" borderId="0" xfId="0" applyFont="1" applyFill="1" applyAlignment="1">
      <alignment horizontal="center" wrapText="1"/>
    </xf>
    <xf numFmtId="0" fontId="43" fillId="2" borderId="0" xfId="0" applyFont="1" applyFill="1" applyAlignment="1">
      <alignment horizontal="center" wrapText="1"/>
    </xf>
    <xf numFmtId="0" fontId="43" fillId="2" borderId="0" xfId="0" applyFont="1" applyFill="1" applyAlignment="1">
      <alignment horizontal="center"/>
    </xf>
    <xf numFmtId="0" fontId="43" fillId="2" borderId="5" xfId="0" applyFont="1" applyFill="1" applyBorder="1" applyAlignment="1">
      <alignment horizontal="center" vertical="center" wrapText="1"/>
    </xf>
    <xf numFmtId="0" fontId="43" fillId="2" borderId="4" xfId="0" applyFont="1" applyFill="1" applyBorder="1" applyAlignment="1">
      <alignment horizontal="center" vertical="center" wrapText="1"/>
    </xf>
    <xf numFmtId="0" fontId="0" fillId="0" borderId="15" xfId="0" applyBorder="1" applyAlignment="1">
      <alignment horizontal="center"/>
    </xf>
    <xf numFmtId="0" fontId="21" fillId="0" borderId="5" xfId="0" applyFont="1" applyBorder="1" applyAlignment="1">
      <alignment horizontal="center" vertical="center"/>
    </xf>
    <xf numFmtId="0" fontId="21" fillId="0" borderId="15" xfId="0" applyFont="1" applyBorder="1" applyAlignment="1">
      <alignment horizontal="center"/>
    </xf>
    <xf numFmtId="0" fontId="15" fillId="0" borderId="0" xfId="0" applyFont="1" applyAlignment="1">
      <alignment horizontal="left"/>
    </xf>
    <xf numFmtId="0" fontId="51" fillId="2" borderId="0" xfId="0" applyFont="1" applyFill="1" applyAlignment="1">
      <alignment horizontal="center"/>
    </xf>
    <xf numFmtId="0" fontId="4" fillId="2" borderId="0" xfId="0" applyFont="1" applyFill="1" applyAlignment="1">
      <alignment horizontal="center" vertical="center"/>
    </xf>
    <xf numFmtId="0" fontId="60" fillId="2" borderId="0" xfId="0" applyFont="1" applyFill="1" applyAlignment="1">
      <alignment horizontal="center"/>
    </xf>
  </cellXfs>
  <cellStyles count="1">
    <cellStyle name="Normal" xfId="0" builtinId="0"/>
  </cellStyles>
  <dxfs count="0"/>
  <tableStyles count="0" defaultTableStyle="TableStyleMedium2" defaultPivotStyle="PivotStyleMedium9"/>
  <colors>
    <mruColors>
      <color rgb="FFF0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Dashboard!$A$29</c:f>
              <c:strCache>
                <c:ptCount val="1"/>
                <c:pt idx="0">
                  <c:v>Revenue (USD Bn)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2.7627988565488565E-2"/>
                  <c:y val="-4.7052556818181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C1-4AA9-83BA-0362FAC10A6E}"/>
                </c:ext>
              </c:extLst>
            </c:dLbl>
            <c:dLbl>
              <c:idx val="2"/>
              <c:layout>
                <c:manualLayout>
                  <c:x val="-4.8478190104166617E-2"/>
                  <c:y val="5.39686414930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C1-4AA9-83BA-0362FAC10A6E}"/>
                </c:ext>
              </c:extLst>
            </c:dLbl>
            <c:dLbl>
              <c:idx val="3"/>
              <c:layout>
                <c:manualLayout>
                  <c:x val="-2.3591874259935385E-2"/>
                  <c:y val="6.73472918157957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C1-4AA9-83BA-0362FAC10A6E}"/>
                </c:ext>
              </c:extLst>
            </c:dLbl>
            <c:dLbl>
              <c:idx val="4"/>
              <c:layout>
                <c:manualLayout>
                  <c:x val="-3.2403165771768237E-2"/>
                  <c:y val="6.5074393044619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C1-4AA9-83BA-0362FAC10A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Dashboard!$B$28:$G$28</c:f>
              <c:strCache>
                <c:ptCount val="6"/>
                <c:pt idx="1">
                  <c:v>FY2022</c:v>
                </c:pt>
                <c:pt idx="2">
                  <c:v>FY2023</c:v>
                </c:pt>
                <c:pt idx="3">
                  <c:v>FY2024</c:v>
                </c:pt>
                <c:pt idx="4">
                  <c:v>FY2025</c:v>
                </c:pt>
                <c:pt idx="5">
                  <c:v>FY2026E</c:v>
                </c:pt>
              </c:strCache>
            </c:strRef>
          </c:cat>
          <c:val>
            <c:numRef>
              <c:f>Dashboard!$B$29:$G$29</c:f>
              <c:numCache>
                <c:formatCode>"$"#,##0.00</c:formatCode>
                <c:ptCount val="6"/>
                <c:pt idx="1">
                  <c:v>394.3</c:v>
                </c:pt>
                <c:pt idx="2">
                  <c:v>383.3</c:v>
                </c:pt>
                <c:pt idx="3">
                  <c:v>391</c:v>
                </c:pt>
                <c:pt idx="4">
                  <c:v>416.2</c:v>
                </c:pt>
                <c:pt idx="5">
                  <c:v>437.01</c:v>
                </c:pt>
              </c:numCache>
            </c:numRef>
          </c:val>
          <c:smooth val="0"/>
          <c:extLst>
            <c:ext xmlns:c16="http://schemas.microsoft.com/office/drawing/2014/chart" uri="{C3380CC4-5D6E-409C-BE32-E72D297353CC}">
              <c16:uniqueId val="{0000000D-D2D3-43D9-8B9B-ABAD93112BAE}"/>
            </c:ext>
          </c:extLst>
        </c:ser>
        <c:dLbls>
          <c:showLegendKey val="0"/>
          <c:showVal val="0"/>
          <c:showCatName val="0"/>
          <c:showSerName val="0"/>
          <c:showPercent val="0"/>
          <c:showBubbleSize val="0"/>
        </c:dLbls>
        <c:marker val="1"/>
        <c:smooth val="0"/>
        <c:axId val="732542983"/>
        <c:axId val="160785927"/>
      </c:lineChart>
      <c:catAx>
        <c:axId val="732542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85927"/>
        <c:crosses val="autoZero"/>
        <c:auto val="1"/>
        <c:lblAlgn val="ctr"/>
        <c:lblOffset val="100"/>
        <c:noMultiLvlLbl val="0"/>
      </c:catAx>
      <c:valAx>
        <c:axId val="160785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542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Dashboard!$A$31</c:f>
              <c:strCache>
                <c:ptCount val="1"/>
                <c:pt idx="0">
                  <c:v>EBITDA Margin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4.3783122278185899E-2"/>
                  <c:y val="-6.21412424046309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5C-4F26-8B9C-6BC243C31E04}"/>
                </c:ext>
              </c:extLst>
            </c:dLbl>
            <c:dLbl>
              <c:idx val="5"/>
              <c:layout>
                <c:manualLayout>
                  <c:x val="-8.3140507619857574E-3"/>
                  <c:y val="-3.137014765277627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5C-4F26-8B9C-6BC243C31E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Dashboard!$B$27:$G$28</c:f>
              <c:multiLvlStrCache>
                <c:ptCount val="6"/>
                <c:lvl>
                  <c:pt idx="1">
                    <c:v>FY2022</c:v>
                  </c:pt>
                  <c:pt idx="2">
                    <c:v>FY2023</c:v>
                  </c:pt>
                  <c:pt idx="3">
                    <c:v>FY2024</c:v>
                  </c:pt>
                  <c:pt idx="4">
                    <c:v>FY2025</c:v>
                  </c:pt>
                  <c:pt idx="5">
                    <c:v>FY2026E</c:v>
                  </c:pt>
                </c:lvl>
                <c:lvl/>
              </c:multiLvlStrCache>
            </c:multiLvlStrRef>
          </c:cat>
          <c:val>
            <c:numRef>
              <c:f>Dashboard!$B$31:$G$31</c:f>
              <c:numCache>
                <c:formatCode>0.00%</c:formatCode>
                <c:ptCount val="6"/>
                <c:pt idx="1">
                  <c:v>0.33</c:v>
                </c:pt>
                <c:pt idx="2">
                  <c:v>0.32</c:v>
                </c:pt>
                <c:pt idx="3">
                  <c:v>0.34399999999999997</c:v>
                </c:pt>
                <c:pt idx="4">
                  <c:v>0.34699999999999998</c:v>
                </c:pt>
                <c:pt idx="5">
                  <c:v>0.35799999999999998</c:v>
                </c:pt>
              </c:numCache>
            </c:numRef>
          </c:val>
          <c:smooth val="0"/>
          <c:extLst>
            <c:ext xmlns:c16="http://schemas.microsoft.com/office/drawing/2014/chart" uri="{C3380CC4-5D6E-409C-BE32-E72D297353CC}">
              <c16:uniqueId val="{00000000-ABF1-4D67-BFA7-EA796FAA58A9}"/>
            </c:ext>
          </c:extLst>
        </c:ser>
        <c:dLbls>
          <c:showLegendKey val="0"/>
          <c:showVal val="0"/>
          <c:showCatName val="0"/>
          <c:showSerName val="0"/>
          <c:showPercent val="0"/>
          <c:showBubbleSize val="0"/>
        </c:dLbls>
        <c:marker val="1"/>
        <c:smooth val="0"/>
        <c:axId val="324076039"/>
        <c:axId val="324078599"/>
      </c:lineChart>
      <c:catAx>
        <c:axId val="324076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78599"/>
        <c:crosses val="autoZero"/>
        <c:auto val="1"/>
        <c:lblAlgn val="ctr"/>
        <c:lblOffset val="100"/>
        <c:noMultiLvlLbl val="0"/>
      </c:catAx>
      <c:valAx>
        <c:axId val="324078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76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EE-43C1-BE0B-F125E8664E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EE-43C1-BE0B-F125E8664E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EE-43C1-BE0B-F125E8664E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EE-43C1-BE0B-F125E8664EA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AEE-43C1-BE0B-F125E8664EA6}"/>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Segmentation'!$D$100:$D$104</c:f>
              <c:strCache>
                <c:ptCount val="5"/>
                <c:pt idx="0">
                  <c:v>iPHONE</c:v>
                </c:pt>
                <c:pt idx="1">
                  <c:v>MAC</c:v>
                </c:pt>
                <c:pt idx="2">
                  <c:v>iPAD</c:v>
                </c:pt>
                <c:pt idx="3">
                  <c:v>WEARABLES, HOMES AND
 ACCESSORIES</c:v>
                </c:pt>
                <c:pt idx="4">
                  <c:v>SERVICES</c:v>
                </c:pt>
              </c:strCache>
            </c:strRef>
          </c:cat>
          <c:val>
            <c:numRef>
              <c:f>'Revenue Segmentation'!$E$100:$E$104</c:f>
              <c:numCache>
                <c:formatCode>0.00%</c:formatCode>
                <c:ptCount val="5"/>
                <c:pt idx="0">
                  <c:v>0.50372685741764855</c:v>
                </c:pt>
                <c:pt idx="1">
                  <c:v>8.102909353209907E-2</c:v>
                </c:pt>
                <c:pt idx="2">
                  <c:v>6.7323875931714364E-2</c:v>
                </c:pt>
                <c:pt idx="3">
                  <c:v>8.5597499398893967E-2</c:v>
                </c:pt>
                <c:pt idx="4">
                  <c:v>0.26232267371964413</c:v>
                </c:pt>
              </c:numCache>
            </c:numRef>
          </c:val>
          <c:extLst>
            <c:ext xmlns:c16="http://schemas.microsoft.com/office/drawing/2014/chart" uri="{C3380CC4-5D6E-409C-BE32-E72D297353CC}">
              <c16:uniqueId val="{00000000-A9A2-4E11-95D0-1222D109978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Margin Assumptions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Assumptions!$A$13</c:f>
              <c:strCache>
                <c:ptCount val="1"/>
                <c:pt idx="0">
                  <c:v>GROSS MARGIN</c:v>
                </c:pt>
              </c:strCache>
            </c:strRef>
          </c:tx>
          <c:spPr>
            <a:solidFill>
              <a:srgbClr val="002060"/>
            </a:solidFill>
            <a:ln>
              <a:noFill/>
            </a:ln>
            <a:effectLst/>
          </c:spPr>
          <c:invertIfNegative val="0"/>
          <c:val>
            <c:numRef>
              <c:f>Assumptions!$B$13:$L$13</c:f>
              <c:numCache>
                <c:formatCode>0.00%</c:formatCode>
                <c:ptCount val="11"/>
                <c:pt idx="1">
                  <c:v>0.47</c:v>
                </c:pt>
                <c:pt idx="3">
                  <c:v>0.47499999999999998</c:v>
                </c:pt>
                <c:pt idx="5">
                  <c:v>0.48</c:v>
                </c:pt>
                <c:pt idx="7">
                  <c:v>0.48</c:v>
                </c:pt>
                <c:pt idx="9">
                  <c:v>0.48499999999999999</c:v>
                </c:pt>
              </c:numCache>
            </c:numRef>
          </c:val>
          <c:extLst>
            <c:ext xmlns:c16="http://schemas.microsoft.com/office/drawing/2014/chart" uri="{C3380CC4-5D6E-409C-BE32-E72D297353CC}">
              <c16:uniqueId val="{00000000-F354-4BC6-9F94-590ECDF23591}"/>
            </c:ext>
          </c:extLst>
        </c:ser>
        <c:ser>
          <c:idx val="1"/>
          <c:order val="1"/>
          <c:tx>
            <c:strRef>
              <c:f>Assumptions!$A$14</c:f>
              <c:strCache>
                <c:ptCount val="1"/>
                <c:pt idx="0">
                  <c:v>OPERATING MARGIN</c:v>
                </c:pt>
              </c:strCache>
            </c:strRef>
          </c:tx>
          <c:spPr>
            <a:solidFill>
              <a:srgbClr val="ACB9CA"/>
            </a:solidFill>
            <a:ln>
              <a:noFill/>
            </a:ln>
            <a:effectLst/>
          </c:spPr>
          <c:invertIfNegative val="0"/>
          <c:val>
            <c:numRef>
              <c:f>Assumptions!$B$14:$L$14</c:f>
              <c:numCache>
                <c:formatCode>0.00%</c:formatCode>
                <c:ptCount val="11"/>
                <c:pt idx="1">
                  <c:v>0.32500000000000001</c:v>
                </c:pt>
                <c:pt idx="3">
                  <c:v>0.33</c:v>
                </c:pt>
                <c:pt idx="5">
                  <c:v>0.33300000000000002</c:v>
                </c:pt>
                <c:pt idx="7">
                  <c:v>0.33700000000000002</c:v>
                </c:pt>
                <c:pt idx="9">
                  <c:v>0.34</c:v>
                </c:pt>
              </c:numCache>
            </c:numRef>
          </c:val>
          <c:extLst>
            <c:ext xmlns:c16="http://schemas.microsoft.com/office/drawing/2014/chart" uri="{C3380CC4-5D6E-409C-BE32-E72D297353CC}">
              <c16:uniqueId val="{00000002-F354-4BC6-9F94-590ECDF23591}"/>
            </c:ext>
          </c:extLst>
        </c:ser>
        <c:ser>
          <c:idx val="2"/>
          <c:order val="2"/>
          <c:tx>
            <c:strRef>
              <c:f>Assumptions!$A$15</c:f>
              <c:strCache>
                <c:ptCount val="1"/>
                <c:pt idx="0">
                  <c:v>EBITDA MARGIN</c:v>
                </c:pt>
              </c:strCache>
            </c:strRef>
          </c:tx>
          <c:spPr>
            <a:solidFill>
              <a:srgbClr val="8EA9DB"/>
            </a:solidFill>
            <a:ln>
              <a:noFill/>
            </a:ln>
            <a:effectLst/>
          </c:spPr>
          <c:invertIfNegative val="0"/>
          <c:val>
            <c:numRef>
              <c:f>Assumptions!$B$15:$L$15</c:f>
              <c:numCache>
                <c:formatCode>0.00%</c:formatCode>
                <c:ptCount val="11"/>
                <c:pt idx="1">
                  <c:v>0.35499999999999998</c:v>
                </c:pt>
                <c:pt idx="3">
                  <c:v>0.36</c:v>
                </c:pt>
                <c:pt idx="5">
                  <c:v>0.36499999999999999</c:v>
                </c:pt>
                <c:pt idx="7">
                  <c:v>0.36799999999999999</c:v>
                </c:pt>
                <c:pt idx="9">
                  <c:v>0.37</c:v>
                </c:pt>
              </c:numCache>
            </c:numRef>
          </c:val>
          <c:extLst>
            <c:ext xmlns:c16="http://schemas.microsoft.com/office/drawing/2014/chart" uri="{C3380CC4-5D6E-409C-BE32-E72D297353CC}">
              <c16:uniqueId val="{00000004-F354-4BC6-9F94-590ECDF23591}"/>
            </c:ext>
          </c:extLst>
        </c:ser>
        <c:ser>
          <c:idx val="3"/>
          <c:order val="3"/>
          <c:tx>
            <c:strRef>
              <c:f>Assumptions!$A$16</c:f>
              <c:strCache>
                <c:ptCount val="1"/>
                <c:pt idx="0">
                  <c:v>NET MARGIN</c:v>
                </c:pt>
              </c:strCache>
            </c:strRef>
          </c:tx>
          <c:spPr>
            <a:solidFill>
              <a:srgbClr val="305496"/>
            </a:solidFill>
            <a:ln>
              <a:noFill/>
            </a:ln>
            <a:effectLst/>
          </c:spPr>
          <c:invertIfNegative val="0"/>
          <c:val>
            <c:numRef>
              <c:f>Assumptions!$B$16:$L$16</c:f>
              <c:numCache>
                <c:formatCode>0.00%</c:formatCode>
                <c:ptCount val="11"/>
                <c:pt idx="1">
                  <c:v>0.27200000000000002</c:v>
                </c:pt>
                <c:pt idx="3">
                  <c:v>0.27600000000000002</c:v>
                </c:pt>
                <c:pt idx="5">
                  <c:v>0.28000000000000003</c:v>
                </c:pt>
                <c:pt idx="7">
                  <c:v>0.28299999999999997</c:v>
                </c:pt>
                <c:pt idx="9">
                  <c:v>0.28499999999999998</c:v>
                </c:pt>
              </c:numCache>
            </c:numRef>
          </c:val>
          <c:extLst>
            <c:ext xmlns:c16="http://schemas.microsoft.com/office/drawing/2014/chart" uri="{C3380CC4-5D6E-409C-BE32-E72D297353CC}">
              <c16:uniqueId val="{00000006-F354-4BC6-9F94-590ECDF23591}"/>
            </c:ext>
          </c:extLst>
        </c:ser>
        <c:dLbls>
          <c:showLegendKey val="0"/>
          <c:showVal val="0"/>
          <c:showCatName val="0"/>
          <c:showSerName val="0"/>
          <c:showPercent val="0"/>
          <c:showBubbleSize val="0"/>
        </c:dLbls>
        <c:gapWidth val="219"/>
        <c:overlap val="-27"/>
        <c:axId val="1864934408"/>
        <c:axId val="1864936456"/>
      </c:barChart>
      <c:catAx>
        <c:axId val="18649344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36456"/>
        <c:crosses val="autoZero"/>
        <c:auto val="1"/>
        <c:lblAlgn val="ctr"/>
        <c:lblOffset val="100"/>
        <c:noMultiLvlLbl val="0"/>
      </c:catAx>
      <c:valAx>
        <c:axId val="1864936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34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r>
              <a:rPr lang="en-US"/>
              <a:t>Implied Share Price vs. Current Market Price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{"Share Price (USD)"}</c:f>
              <c:strCache>
                <c:ptCount val="1"/>
                <c:pt idx="0">
                  <c:v>Share Price (USD)</c:v>
                </c:pt>
              </c:strCache>
            </c:strRef>
          </c:tx>
          <c:spPr>
            <a:solidFill>
              <a:srgbClr val="2037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'DCF Valuation'!$A$100:$A$101</c:f>
              <c:strCache>
                <c:ptCount val="2"/>
                <c:pt idx="0">
                  <c:v>IMPLIED SHARE PRICE (USD)</c:v>
                </c:pt>
                <c:pt idx="1">
                  <c:v>CURRENT MARKET PRICE (USD)</c:v>
                </c:pt>
              </c:strCache>
            </c:strRef>
          </c:cat>
          <c:val>
            <c:numRef>
              <c:f>'DCF Valuation'!$B$100:$B$101</c:f>
              <c:numCache>
                <c:formatCode>General</c:formatCode>
                <c:ptCount val="2"/>
                <c:pt idx="0">
                  <c:v>195.29</c:v>
                </c:pt>
                <c:pt idx="1">
                  <c:v>308.8</c:v>
                </c:pt>
              </c:numCache>
            </c:numRef>
          </c:val>
          <c:extLst>
            <c:ext xmlns:c16="http://schemas.microsoft.com/office/drawing/2014/chart" uri="{C3380CC4-5D6E-409C-BE32-E72D297353CC}">
              <c16:uniqueId val="{00000009-98DF-4752-A2F2-7ECF7219CA91}"/>
            </c:ext>
          </c:extLst>
        </c:ser>
        <c:dLbls>
          <c:showLegendKey val="0"/>
          <c:showVal val="0"/>
          <c:showCatName val="0"/>
          <c:showSerName val="0"/>
          <c:showPercent val="0"/>
          <c:showBubbleSize val="0"/>
        </c:dLbls>
        <c:gapWidth val="219"/>
        <c:overlap val="-27"/>
        <c:axId val="2010511880"/>
        <c:axId val="2012889608"/>
      </c:barChart>
      <c:catAx>
        <c:axId val="2010511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889608"/>
        <c:crosses val="autoZero"/>
        <c:auto val="1"/>
        <c:lblAlgn val="ctr"/>
        <c:lblOffset val="100"/>
        <c:noMultiLvlLbl val="0"/>
      </c:catAx>
      <c:valAx>
        <c:axId val="20128896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511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tx>
            <c:strRef>
              <c:f>{"Implied Share Price (USD)"}</c:f>
              <c:strCache>
                <c:ptCount val="1"/>
                <c:pt idx="0">
                  <c:v>Implied Share Price (USD)</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'Comparable Company Analysis'!$A$102:$A$105</c:f>
              <c:strCache>
                <c:ptCount val="4"/>
                <c:pt idx="0">
                  <c:v>EV/REVENUE </c:v>
                </c:pt>
                <c:pt idx="1">
                  <c:v>EV/EBITDA </c:v>
                </c:pt>
                <c:pt idx="2">
                  <c:v>P/E</c:v>
                </c:pt>
                <c:pt idx="3">
                  <c:v>AVERAGE IMPLIED 
SHARE PRICE (USD)</c:v>
                </c:pt>
              </c:strCache>
            </c:strRef>
          </c:cat>
          <c:val>
            <c:numRef>
              <c:f>'Comparable Company Analysis'!$C$102:$C$105</c:f>
              <c:numCache>
                <c:formatCode>0.00</c:formatCode>
                <c:ptCount val="4"/>
                <c:pt idx="0">
                  <c:v>319.52433333333335</c:v>
                </c:pt>
                <c:pt idx="1">
                  <c:v>238.38819999999998</c:v>
                </c:pt>
                <c:pt idx="2">
                  <c:v>266.00669999999997</c:v>
                </c:pt>
                <c:pt idx="3">
                  <c:v>274.63974444444443</c:v>
                </c:pt>
              </c:numCache>
            </c:numRef>
          </c:val>
          <c:extLst>
            <c:ext xmlns:c16="http://schemas.microsoft.com/office/drawing/2014/chart" uri="{C3380CC4-5D6E-409C-BE32-E72D297353CC}">
              <c16:uniqueId val="{00000020-CC8C-419C-A0AC-328D5C5DC251}"/>
            </c:ext>
          </c:extLst>
        </c:ser>
        <c:dLbls>
          <c:showLegendKey val="0"/>
          <c:showVal val="0"/>
          <c:showCatName val="0"/>
          <c:showSerName val="0"/>
          <c:showPercent val="0"/>
          <c:showBubbleSize val="0"/>
        </c:dLbls>
        <c:gapWidth val="257"/>
        <c:axId val="2129349127"/>
        <c:axId val="3711496"/>
      </c:barChart>
      <c:catAx>
        <c:axId val="2129349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496"/>
        <c:crosses val="autoZero"/>
        <c:auto val="1"/>
        <c:lblAlgn val="ctr"/>
        <c:lblOffset val="100"/>
        <c:noMultiLvlLbl val="0"/>
      </c:catAx>
      <c:valAx>
        <c:axId val="37114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49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{"Implied Share Price (USD)"}</c:f>
              <c:strCache>
                <c:ptCount val="1"/>
                <c:pt idx="0">
                  <c:v>Implied Share Price (USD)</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'Precedent Transactions'!$A$102:$A$104</c:f>
              <c:strCache>
                <c:ptCount val="3"/>
                <c:pt idx="0">
                  <c:v>EV/REVENUE </c:v>
                </c:pt>
                <c:pt idx="1">
                  <c:v>EV/EBITDA </c:v>
                </c:pt>
                <c:pt idx="2">
                  <c:v>AVERAGE IMPLIED 
SHARE PRICE (USD)</c:v>
                </c:pt>
              </c:strCache>
            </c:strRef>
          </c:cat>
          <c:val>
            <c:numRef>
              <c:f>'Precedent Transactions'!$C$102:$C$104</c:f>
              <c:numCache>
                <c:formatCode>0.00</c:formatCode>
                <c:ptCount val="3"/>
                <c:pt idx="0">
                  <c:v>209.39653333333339</c:v>
                </c:pt>
                <c:pt idx="1">
                  <c:v>284.98159999999996</c:v>
                </c:pt>
                <c:pt idx="2">
                  <c:v>247.18906666666669</c:v>
                </c:pt>
              </c:numCache>
            </c:numRef>
          </c:val>
          <c:extLst>
            <c:ext xmlns:c16="http://schemas.microsoft.com/office/drawing/2014/chart" uri="{C3380CC4-5D6E-409C-BE32-E72D297353CC}">
              <c16:uniqueId val="{0000000C-EB80-4329-9137-5C5D1782E4B3}"/>
            </c:ext>
          </c:extLst>
        </c:ser>
        <c:dLbls>
          <c:showLegendKey val="0"/>
          <c:showVal val="0"/>
          <c:showCatName val="0"/>
          <c:showSerName val="0"/>
          <c:showPercent val="0"/>
          <c:showBubbleSize val="0"/>
        </c:dLbls>
        <c:gapWidth val="228"/>
        <c:axId val="2129348615"/>
        <c:axId val="2129370631"/>
      </c:barChart>
      <c:catAx>
        <c:axId val="2129348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70631"/>
        <c:crosses val="autoZero"/>
        <c:auto val="1"/>
        <c:lblAlgn val="ctr"/>
        <c:lblOffset val="100"/>
        <c:noMultiLvlLbl val="0"/>
      </c:catAx>
      <c:valAx>
        <c:axId val="212937063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1293486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180975</xdr:rowOff>
    </xdr:from>
    <xdr:to>
      <xdr:col>2</xdr:col>
      <xdr:colOff>0</xdr:colOff>
      <xdr:row>0</xdr:row>
      <xdr:rowOff>180975</xdr:rowOff>
    </xdr:to>
    <xdr:pic>
      <xdr:nvPicPr>
        <xdr:cNvPr id="2" name="Picture 1">
          <a:extLst>
            <a:ext uri="{FF2B5EF4-FFF2-40B4-BE49-F238E27FC236}">
              <a16:creationId xmlns:a16="http://schemas.microsoft.com/office/drawing/2014/main" id="{882E2279-188F-2D75-1FEA-84D9E9C8641D}"/>
            </a:ext>
          </a:extLst>
        </xdr:cNvPr>
        <xdr:cNvPicPr>
          <a:picLocks noChangeAspect="1"/>
        </xdr:cNvPicPr>
      </xdr:nvPicPr>
      <xdr:blipFill>
        <a:blip xmlns:r="http://schemas.openxmlformats.org/officeDocument/2006/relationships" r:embed="rId1"/>
        <a:stretch>
          <a:fillRect/>
        </a:stretch>
      </xdr:blipFill>
      <xdr:spPr>
        <a:xfrm>
          <a:off x="0" y="180975"/>
          <a:ext cx="0" cy="0"/>
        </a:xfrm>
        <a:prstGeom prst="rect">
          <a:avLst/>
        </a:prstGeom>
      </xdr:spPr>
    </xdr:pic>
    <xdr:clientData/>
  </xdr:twoCellAnchor>
  <xdr:twoCellAnchor editAs="oneCell">
    <xdr:from>
      <xdr:col>6</xdr:col>
      <xdr:colOff>152400</xdr:colOff>
      <xdr:row>3</xdr:row>
      <xdr:rowOff>76200</xdr:rowOff>
    </xdr:from>
    <xdr:to>
      <xdr:col>8</xdr:col>
      <xdr:colOff>419100</xdr:colOff>
      <xdr:row>8</xdr:row>
      <xdr:rowOff>123825</xdr:rowOff>
    </xdr:to>
    <xdr:pic>
      <xdr:nvPicPr>
        <xdr:cNvPr id="3" name="Picture 2">
          <a:extLst>
            <a:ext uri="{FF2B5EF4-FFF2-40B4-BE49-F238E27FC236}">
              <a16:creationId xmlns:a16="http://schemas.microsoft.com/office/drawing/2014/main" id="{C7A0DA68-6312-25C8-A5E1-8A1B0513F92F}"/>
            </a:ext>
            <a:ext uri="{147F2762-F138-4A5C-976F-8EAC2B608ADB}">
              <a16:predDERef xmlns:a16="http://schemas.microsoft.com/office/drawing/2014/main" pred="{882E2279-188F-2D75-1FEA-84D9E9C8641D}"/>
            </a:ext>
          </a:extLst>
        </xdr:cNvPr>
        <xdr:cNvPicPr>
          <a:picLocks noChangeAspect="1"/>
        </xdr:cNvPicPr>
      </xdr:nvPicPr>
      <xdr:blipFill>
        <a:blip xmlns:r="http://schemas.openxmlformats.org/officeDocument/2006/relationships" r:embed="rId1"/>
        <a:srcRect t="492" r="2" b="10823"/>
        <a:stretch>
          <a:fillRect/>
        </a:stretch>
      </xdr:blipFill>
      <xdr:spPr>
        <a:xfrm>
          <a:off x="2705100" y="552450"/>
          <a:ext cx="1485900" cy="1000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171450</xdr:rowOff>
    </xdr:from>
    <xdr:to>
      <xdr:col>6</xdr:col>
      <xdr:colOff>590550</xdr:colOff>
      <xdr:row>24</xdr:row>
      <xdr:rowOff>171450</xdr:rowOff>
    </xdr:to>
    <xdr:graphicFrame macro="">
      <xdr:nvGraphicFramePr>
        <xdr:cNvPr id="36" name="Chart 2">
          <a:extLst>
            <a:ext uri="{FF2B5EF4-FFF2-40B4-BE49-F238E27FC236}">
              <a16:creationId xmlns:a16="http://schemas.microsoft.com/office/drawing/2014/main" id="{E5B1BEDE-BAB5-920C-9F10-E8B89C796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13</xdr:row>
      <xdr:rowOff>180975</xdr:rowOff>
    </xdr:from>
    <xdr:to>
      <xdr:col>14</xdr:col>
      <xdr:colOff>676275</xdr:colOff>
      <xdr:row>24</xdr:row>
      <xdr:rowOff>171450</xdr:rowOff>
    </xdr:to>
    <xdr:graphicFrame macro="">
      <xdr:nvGraphicFramePr>
        <xdr:cNvPr id="47" name="Chart 46">
          <a:extLst>
            <a:ext uri="{FF2B5EF4-FFF2-40B4-BE49-F238E27FC236}">
              <a16:creationId xmlns:a16="http://schemas.microsoft.com/office/drawing/2014/main" id="{F9EEF8C1-64F3-87B8-7D39-C7DA7F3F9AC6}"/>
            </a:ext>
            <a:ext uri="{147F2762-F138-4A5C-976F-8EAC2B608ADB}">
              <a16:predDERef xmlns:a16="http://schemas.microsoft.com/office/drawing/2014/main" pred="{E5B1BEDE-BAB5-920C-9F10-E8B89C796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114300</xdr:colOff>
      <xdr:row>5</xdr:row>
      <xdr:rowOff>9525</xdr:rowOff>
    </xdr:from>
    <xdr:to>
      <xdr:col>10</xdr:col>
      <xdr:colOff>2552700</xdr:colOff>
      <xdr:row>20</xdr:row>
      <xdr:rowOff>152400</xdr:rowOff>
    </xdr:to>
    <xdr:graphicFrame macro="">
      <xdr:nvGraphicFramePr>
        <xdr:cNvPr id="5" name="Chart 4">
          <a:extLst>
            <a:ext uri="{FF2B5EF4-FFF2-40B4-BE49-F238E27FC236}">
              <a16:creationId xmlns:a16="http://schemas.microsoft.com/office/drawing/2014/main" id="{A17847C9-8079-5506-129B-C2739BD0823E}"/>
            </a:ext>
            <a:ext uri="{147F2762-F138-4A5C-976F-8EAC2B608ADB}">
              <a16:predDERef xmlns:a16="http://schemas.microsoft.com/office/drawing/2014/main" pred="{4F99F3B4-3CE1-26E7-ECA4-27F56BEA4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161925</xdr:colOff>
      <xdr:row>16</xdr:row>
      <xdr:rowOff>47625</xdr:rowOff>
    </xdr:from>
    <xdr:to>
      <xdr:col>11</xdr:col>
      <xdr:colOff>581025</xdr:colOff>
      <xdr:row>32</xdr:row>
      <xdr:rowOff>161925</xdr:rowOff>
    </xdr:to>
    <xdr:graphicFrame macro="">
      <xdr:nvGraphicFramePr>
        <xdr:cNvPr id="2" name="Chart 1">
          <a:extLst>
            <a:ext uri="{FF2B5EF4-FFF2-40B4-BE49-F238E27FC236}">
              <a16:creationId xmlns:a16="http://schemas.microsoft.com/office/drawing/2014/main" id="{CD84F1A3-CC94-713F-80A8-716EED189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180975</xdr:colOff>
      <xdr:row>29</xdr:row>
      <xdr:rowOff>47625</xdr:rowOff>
    </xdr:from>
    <xdr:to>
      <xdr:col>12</xdr:col>
      <xdr:colOff>914400</xdr:colOff>
      <xdr:row>38</xdr:row>
      <xdr:rowOff>28575</xdr:rowOff>
    </xdr:to>
    <xdr:graphicFrame macro="">
      <xdr:nvGraphicFramePr>
        <xdr:cNvPr id="3" name="Chart 2">
          <a:extLst>
            <a:ext uri="{FF2B5EF4-FFF2-40B4-BE49-F238E27FC236}">
              <a16:creationId xmlns:a16="http://schemas.microsoft.com/office/drawing/2014/main" id="{AA8BDC3A-A62C-4EA2-FBF7-D95E139353C0}"/>
            </a:ext>
            <a:ext uri="{147F2762-F138-4A5C-976F-8EAC2B608ADB}">
              <a16:predDERef xmlns:a16="http://schemas.microsoft.com/office/drawing/2014/main" pred="{88BE9DF6-089C-3DDB-43A1-79DB4C28C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25</xdr:row>
      <xdr:rowOff>228600</xdr:rowOff>
    </xdr:from>
    <xdr:to>
      <xdr:col>13</xdr:col>
      <xdr:colOff>0</xdr:colOff>
      <xdr:row>36</xdr:row>
      <xdr:rowOff>66675</xdr:rowOff>
    </xdr:to>
    <xdr:graphicFrame macro="">
      <xdr:nvGraphicFramePr>
        <xdr:cNvPr id="4" name="Chart 3">
          <a:extLst>
            <a:ext uri="{FF2B5EF4-FFF2-40B4-BE49-F238E27FC236}">
              <a16:creationId xmlns:a16="http://schemas.microsoft.com/office/drawing/2014/main" id="{607D1B7C-C089-463B-4379-79DED9EC3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9525</xdr:colOff>
      <xdr:row>14</xdr:row>
      <xdr:rowOff>85725</xdr:rowOff>
    </xdr:from>
    <xdr:to>
      <xdr:col>15</xdr:col>
      <xdr:colOff>600075</xdr:colOff>
      <xdr:row>30</xdr:row>
      <xdr:rowOff>0</xdr:rowOff>
    </xdr:to>
    <xdr:graphicFrame macro="">
      <xdr:nvGraphicFramePr>
        <xdr:cNvPr id="5" name="Chart 4">
          <a:extLst>
            <a:ext uri="{FF2B5EF4-FFF2-40B4-BE49-F238E27FC236}">
              <a16:creationId xmlns:a16="http://schemas.microsoft.com/office/drawing/2014/main" id="{CA068A31-410E-C969-DEEC-3BD84B22B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32"/>
  <sheetViews>
    <sheetView showGridLines="0" topLeftCell="A18" workbookViewId="0">
      <selection activeCell="B30" sqref="B30"/>
    </sheetView>
  </sheetViews>
  <sheetFormatPr defaultRowHeight="15"/>
  <cols>
    <col min="2" max="2" width="2.42578125" customWidth="1"/>
    <col min="15" max="15" width="0.85546875" customWidth="1"/>
    <col min="16" max="16" width="0" hidden="1" customWidth="1"/>
    <col min="17" max="17" width="2.140625" customWidth="1"/>
  </cols>
  <sheetData>
    <row r="1" spans="2:17">
      <c r="B1" s="1"/>
      <c r="C1" s="1"/>
      <c r="D1" s="1"/>
      <c r="E1" s="1"/>
      <c r="F1" s="1"/>
      <c r="G1" s="1"/>
      <c r="H1" s="1"/>
      <c r="I1" s="1"/>
      <c r="J1" s="1"/>
      <c r="K1" s="1"/>
      <c r="L1" s="1"/>
      <c r="M1" s="1"/>
      <c r="N1" s="1"/>
      <c r="O1" s="1"/>
      <c r="P1" s="1"/>
      <c r="Q1" s="1"/>
    </row>
    <row r="2" spans="2:17">
      <c r="B2" s="114"/>
      <c r="C2" s="116"/>
      <c r="D2" s="118"/>
      <c r="E2" s="118"/>
      <c r="F2" s="118"/>
      <c r="G2" s="118"/>
      <c r="H2" s="118"/>
      <c r="I2" s="118"/>
      <c r="J2" s="118"/>
      <c r="K2" s="118"/>
      <c r="L2" s="118"/>
      <c r="M2" s="118"/>
      <c r="N2" s="118"/>
      <c r="O2" s="118"/>
      <c r="P2" s="118"/>
      <c r="Q2" s="118"/>
    </row>
    <row r="3" spans="2:17" ht="7.5" customHeight="1">
      <c r="B3" s="111"/>
      <c r="C3" s="119"/>
      <c r="D3" s="120"/>
      <c r="E3" s="120"/>
      <c r="F3" s="120"/>
      <c r="G3" s="120"/>
      <c r="H3" s="120"/>
      <c r="I3" s="120"/>
      <c r="J3" s="120"/>
      <c r="K3" s="120"/>
      <c r="L3" s="120"/>
      <c r="M3" s="120"/>
      <c r="N3" s="120"/>
      <c r="O3" s="120"/>
      <c r="P3" s="120"/>
      <c r="Q3" s="120"/>
    </row>
    <row r="9" spans="2:17" ht="15" customHeight="1">
      <c r="E9" s="186" t="s">
        <v>0</v>
      </c>
      <c r="F9" s="186"/>
      <c r="G9" s="186"/>
      <c r="H9" s="186"/>
      <c r="I9" s="186"/>
      <c r="J9" s="186"/>
      <c r="K9" s="186"/>
      <c r="L9" s="109"/>
      <c r="M9" s="109"/>
      <c r="N9" s="109"/>
    </row>
    <row r="10" spans="2:17" ht="15" customHeight="1">
      <c r="E10" s="186"/>
      <c r="F10" s="186"/>
      <c r="G10" s="186"/>
      <c r="H10" s="186"/>
      <c r="I10" s="186"/>
      <c r="J10" s="186"/>
      <c r="K10" s="186"/>
      <c r="L10" s="109"/>
      <c r="M10" s="109"/>
      <c r="N10" s="109"/>
    </row>
    <row r="11" spans="2:17" ht="15" customHeight="1">
      <c r="E11" s="186"/>
      <c r="F11" s="186"/>
      <c r="G11" s="186"/>
      <c r="H11" s="186"/>
      <c r="I11" s="186"/>
      <c r="J11" s="186"/>
      <c r="K11" s="186"/>
      <c r="L11" s="109"/>
      <c r="M11" s="109"/>
      <c r="N11" s="109"/>
    </row>
    <row r="12" spans="2:17" ht="15" customHeight="1">
      <c r="E12" s="186"/>
      <c r="F12" s="186"/>
      <c r="G12" s="186"/>
      <c r="H12" s="186"/>
      <c r="I12" s="186"/>
      <c r="J12" s="186"/>
      <c r="K12" s="186"/>
      <c r="L12" s="109"/>
      <c r="M12" s="109"/>
      <c r="N12" s="109"/>
    </row>
    <row r="13" spans="2:17" ht="16.5" customHeight="1">
      <c r="E13" s="187"/>
      <c r="F13" s="187"/>
      <c r="G13" s="187"/>
      <c r="H13" s="187"/>
      <c r="I13" s="187"/>
      <c r="J13" s="187"/>
      <c r="K13" s="187"/>
      <c r="L13" s="109"/>
      <c r="M13" s="109"/>
      <c r="N13" s="109"/>
    </row>
    <row r="14" spans="2:17" ht="9" customHeight="1">
      <c r="E14" s="109"/>
      <c r="F14" s="109"/>
      <c r="G14" s="109"/>
      <c r="H14" s="109"/>
      <c r="I14" s="109"/>
      <c r="J14" s="109"/>
      <c r="K14" s="109"/>
      <c r="L14" s="109"/>
      <c r="M14" s="109"/>
      <c r="N14" s="109"/>
    </row>
    <row r="15" spans="2:17" ht="15" customHeight="1">
      <c r="C15" s="188" t="s">
        <v>1</v>
      </c>
      <c r="D15" s="189"/>
      <c r="E15" s="189"/>
      <c r="F15" s="189"/>
      <c r="G15" s="189"/>
      <c r="H15" s="189"/>
      <c r="I15" s="189"/>
      <c r="J15" s="189"/>
      <c r="K15" s="189"/>
      <c r="L15" s="189"/>
      <c r="M15" s="189"/>
      <c r="N15" s="189"/>
    </row>
    <row r="16" spans="2:17" ht="15" customHeight="1">
      <c r="C16" s="189"/>
      <c r="D16" s="189"/>
      <c r="E16" s="189"/>
      <c r="F16" s="189"/>
      <c r="G16" s="189"/>
      <c r="H16" s="189"/>
      <c r="I16" s="189"/>
      <c r="J16" s="189"/>
      <c r="K16" s="189"/>
      <c r="L16" s="189"/>
      <c r="M16" s="189"/>
      <c r="N16" s="189"/>
    </row>
    <row r="17" spans="2:17">
      <c r="C17" s="189"/>
      <c r="D17" s="189"/>
      <c r="E17" s="189"/>
      <c r="F17" s="189"/>
      <c r="G17" s="189"/>
      <c r="H17" s="189"/>
      <c r="I17" s="189"/>
      <c r="J17" s="189"/>
      <c r="K17" s="189"/>
      <c r="L17" s="189"/>
      <c r="M17" s="189"/>
      <c r="N17" s="189"/>
    </row>
    <row r="18" spans="2:17" ht="12" customHeight="1">
      <c r="E18" s="53"/>
      <c r="F18" s="53"/>
      <c r="G18" s="53"/>
      <c r="H18" s="53"/>
      <c r="I18" s="53"/>
      <c r="J18" s="53"/>
      <c r="K18" s="53"/>
    </row>
    <row r="19" spans="2:17" ht="19.5" customHeight="1">
      <c r="E19" s="193" t="s">
        <v>2</v>
      </c>
      <c r="F19" s="193"/>
      <c r="G19" s="193"/>
      <c r="H19" s="193"/>
      <c r="I19" s="193"/>
      <c r="J19" s="193"/>
      <c r="K19" s="193"/>
    </row>
    <row r="20" spans="2:17" ht="18" customHeight="1">
      <c r="D20" s="117"/>
      <c r="E20" s="122"/>
      <c r="F20" s="122"/>
      <c r="G20" s="122"/>
      <c r="H20" s="122"/>
      <c r="I20" s="122"/>
      <c r="J20" s="122"/>
      <c r="K20" s="122"/>
      <c r="L20" s="117"/>
      <c r="M20" s="117"/>
      <c r="N20" s="117"/>
    </row>
    <row r="21" spans="2:17" ht="18" customHeight="1">
      <c r="D21" s="117"/>
      <c r="E21" s="53"/>
      <c r="F21" s="53"/>
      <c r="G21" s="53"/>
      <c r="H21" s="53"/>
      <c r="I21" s="53"/>
      <c r="J21" s="53"/>
      <c r="K21" s="53"/>
      <c r="L21" s="117"/>
      <c r="M21" s="117"/>
      <c r="N21" s="117"/>
    </row>
    <row r="22" spans="2:17" ht="24.75" customHeight="1">
      <c r="D22" s="124"/>
      <c r="E22" s="117"/>
      <c r="F22" s="117"/>
      <c r="G22" s="190" t="s">
        <v>3</v>
      </c>
      <c r="H22" s="190"/>
      <c r="I22" s="190"/>
      <c r="J22" s="117"/>
      <c r="K22" s="117"/>
      <c r="L22" s="117"/>
      <c r="M22" s="117"/>
      <c r="N22" s="117"/>
    </row>
    <row r="23" spans="2:17" ht="15" customHeight="1">
      <c r="F23" s="191" t="s">
        <v>4</v>
      </c>
      <c r="G23" s="192"/>
      <c r="H23" s="192"/>
      <c r="I23" s="192"/>
      <c r="J23" s="192"/>
      <c r="K23" s="125"/>
      <c r="L23" s="123"/>
      <c r="M23" s="117"/>
      <c r="N23" s="117"/>
    </row>
    <row r="24" spans="2:17" ht="15" customHeight="1">
      <c r="F24" s="192"/>
      <c r="G24" s="192"/>
      <c r="H24" s="192"/>
      <c r="I24" s="192"/>
      <c r="J24" s="192"/>
      <c r="K24" s="125"/>
      <c r="L24" s="123"/>
      <c r="M24" s="117"/>
      <c r="N24" s="117"/>
    </row>
    <row r="25" spans="2:17" ht="15" customHeight="1">
      <c r="D25" s="117"/>
      <c r="E25" s="117"/>
      <c r="F25" s="117"/>
      <c r="G25" s="117"/>
      <c r="H25" s="117"/>
      <c r="I25" s="117"/>
      <c r="J25" s="117"/>
      <c r="K25" s="117"/>
      <c r="L25" s="117"/>
      <c r="M25" s="117"/>
      <c r="N25" s="117"/>
    </row>
    <row r="26" spans="2:17" ht="15" customHeight="1">
      <c r="D26" s="117"/>
      <c r="E26" s="117"/>
      <c r="F26" s="117"/>
      <c r="G26" s="117"/>
      <c r="H26" s="117"/>
      <c r="I26" s="117"/>
      <c r="J26" s="117"/>
      <c r="K26" s="117"/>
      <c r="L26" s="117"/>
      <c r="M26" s="117"/>
      <c r="N26" s="117"/>
    </row>
    <row r="27" spans="2:17" ht="15.75">
      <c r="B27" s="185" t="s">
        <v>5</v>
      </c>
      <c r="C27" s="185"/>
      <c r="D27" s="185"/>
      <c r="E27" s="185"/>
      <c r="F27" s="185" t="s">
        <v>6</v>
      </c>
      <c r="G27" s="185"/>
      <c r="H27" s="185"/>
      <c r="I27" s="185" t="s">
        <v>7</v>
      </c>
      <c r="J27" s="185"/>
      <c r="K27" s="185"/>
      <c r="L27" s="185" t="s">
        <v>8</v>
      </c>
      <c r="M27" s="185"/>
      <c r="N27" s="185"/>
      <c r="O27" s="185"/>
      <c r="P27" s="126"/>
      <c r="Q27" s="126"/>
    </row>
    <row r="28" spans="2:17" ht="15.75">
      <c r="B28" s="185"/>
      <c r="C28" s="185"/>
      <c r="D28" s="185"/>
      <c r="E28" s="185"/>
      <c r="F28" s="185"/>
      <c r="G28" s="185"/>
      <c r="H28" s="185"/>
      <c r="I28" s="185"/>
      <c r="J28" s="185"/>
      <c r="K28" s="185"/>
      <c r="L28" s="185"/>
      <c r="M28" s="185"/>
      <c r="N28" s="185"/>
      <c r="O28" s="185"/>
      <c r="P28" s="126"/>
      <c r="Q28" s="126"/>
    </row>
    <row r="29" spans="2:17" ht="13.5" customHeight="1">
      <c r="B29" s="185"/>
      <c r="C29" s="185"/>
      <c r="D29" s="185"/>
      <c r="E29" s="185"/>
      <c r="F29" s="185"/>
      <c r="G29" s="185"/>
      <c r="H29" s="185"/>
      <c r="I29" s="185"/>
      <c r="J29" s="185"/>
      <c r="K29" s="185"/>
      <c r="L29" s="185"/>
      <c r="M29" s="185"/>
      <c r="N29" s="185"/>
      <c r="O29" s="185"/>
      <c r="P29" s="126"/>
      <c r="Q29" s="126"/>
    </row>
    <row r="30" spans="2:17" ht="7.5" customHeight="1">
      <c r="B30" s="127"/>
      <c r="E30" s="128"/>
      <c r="F30" s="128"/>
      <c r="G30" s="128"/>
      <c r="H30" s="128"/>
      <c r="I30" s="128"/>
      <c r="J30" s="128"/>
      <c r="K30" s="128"/>
      <c r="L30" s="128"/>
      <c r="M30" s="128"/>
      <c r="P30" s="112"/>
    </row>
    <row r="31" spans="2:17">
      <c r="B31" s="121"/>
      <c r="C31" s="114"/>
      <c r="D31" s="116"/>
      <c r="E31" s="113"/>
      <c r="F31" s="113"/>
      <c r="G31" s="113"/>
      <c r="H31" s="113"/>
      <c r="I31" s="113"/>
      <c r="J31" s="113"/>
      <c r="K31" s="113"/>
      <c r="L31" s="113"/>
      <c r="M31" s="113"/>
      <c r="N31" s="114"/>
      <c r="O31" s="115"/>
      <c r="P31" s="115"/>
    </row>
    <row r="32" spans="2:17">
      <c r="B32" s="1"/>
      <c r="C32" s="110"/>
      <c r="D32" s="110"/>
      <c r="E32" s="110"/>
      <c r="F32" s="110"/>
      <c r="G32" s="110"/>
      <c r="H32" s="110"/>
      <c r="I32" s="110"/>
      <c r="J32" s="110"/>
      <c r="K32" s="110"/>
      <c r="L32" s="110"/>
      <c r="M32" s="110"/>
      <c r="N32" s="110"/>
      <c r="O32" s="110"/>
      <c r="P32" s="110"/>
    </row>
  </sheetData>
  <mergeCells count="9">
    <mergeCell ref="B27:E29"/>
    <mergeCell ref="L27:O29"/>
    <mergeCell ref="F27:H29"/>
    <mergeCell ref="I27:K29"/>
    <mergeCell ref="E9:K13"/>
    <mergeCell ref="C15:N17"/>
    <mergeCell ref="G22:I22"/>
    <mergeCell ref="F23:J24"/>
    <mergeCell ref="E19:K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6B802-602F-415B-B92F-7CCE8480C486}">
  <dimension ref="A1:Y42"/>
  <sheetViews>
    <sheetView showGridLines="0" topLeftCell="A4" workbookViewId="0">
      <selection activeCell="E10" sqref="E10:G10"/>
    </sheetView>
  </sheetViews>
  <sheetFormatPr defaultRowHeight="15"/>
  <cols>
    <col min="1" max="2" width="11.28515625" customWidth="1"/>
    <col min="3" max="3" width="9.28515625" customWidth="1"/>
    <col min="5" max="5" width="9.85546875" bestFit="1" customWidth="1"/>
    <col min="10" max="10" width="10.28515625" customWidth="1"/>
    <col min="11" max="11" width="17.7109375" customWidth="1"/>
    <col min="12" max="12" width="9.7109375" customWidth="1"/>
    <col min="13" max="13" width="11.42578125" customWidth="1"/>
    <col min="14" max="14" width="12.42578125" customWidth="1"/>
    <col min="15" max="15" width="10.42578125" customWidth="1"/>
  </cols>
  <sheetData>
    <row r="1" spans="1:15">
      <c r="A1" s="201" t="s">
        <v>9</v>
      </c>
      <c r="B1" s="201"/>
      <c r="C1" s="202"/>
      <c r="D1" s="202"/>
      <c r="E1" s="202"/>
      <c r="F1" s="202"/>
      <c r="G1" s="202"/>
      <c r="H1" s="202"/>
      <c r="I1" s="202"/>
      <c r="J1" s="202"/>
      <c r="K1" s="202"/>
      <c r="L1" s="202"/>
      <c r="M1" s="202"/>
      <c r="N1" s="202"/>
      <c r="O1" s="202"/>
    </row>
    <row r="2" spans="1:15">
      <c r="A2" s="202"/>
      <c r="B2" s="202"/>
      <c r="C2" s="202"/>
      <c r="D2" s="202"/>
      <c r="E2" s="202"/>
      <c r="F2" s="202"/>
      <c r="G2" s="202"/>
      <c r="H2" s="202"/>
      <c r="I2" s="202"/>
      <c r="J2" s="202"/>
      <c r="K2" s="202"/>
      <c r="L2" s="202"/>
      <c r="M2" s="202"/>
      <c r="N2" s="202"/>
      <c r="O2" s="202"/>
    </row>
    <row r="3" spans="1:15">
      <c r="A3" s="202"/>
      <c r="B3" s="202"/>
      <c r="C3" s="202"/>
      <c r="D3" s="202"/>
      <c r="E3" s="202"/>
      <c r="F3" s="202"/>
      <c r="G3" s="202"/>
      <c r="H3" s="202"/>
      <c r="I3" s="202"/>
      <c r="J3" s="202"/>
      <c r="K3" s="202"/>
      <c r="L3" s="202"/>
      <c r="M3" s="202"/>
      <c r="N3" s="202"/>
      <c r="O3" s="202"/>
    </row>
    <row r="4" spans="1:15">
      <c r="A4" s="202"/>
      <c r="B4" s="202"/>
      <c r="C4" s="202"/>
      <c r="D4" s="202"/>
      <c r="E4" s="202"/>
      <c r="F4" s="202"/>
      <c r="G4" s="202"/>
      <c r="H4" s="202"/>
      <c r="I4" s="202"/>
      <c r="J4" s="202"/>
      <c r="K4" s="202"/>
      <c r="L4" s="202"/>
      <c r="M4" s="202"/>
      <c r="N4" s="202"/>
      <c r="O4" s="202"/>
    </row>
    <row r="6" spans="1:15">
      <c r="A6" s="198" t="s">
        <v>10</v>
      </c>
      <c r="B6" s="198"/>
      <c r="C6" s="199"/>
      <c r="E6" s="198" t="s">
        <v>11</v>
      </c>
      <c r="F6" s="198"/>
      <c r="G6" s="206"/>
      <c r="I6" s="198" t="s">
        <v>12</v>
      </c>
      <c r="J6" s="198"/>
      <c r="K6" s="199"/>
      <c r="M6" s="198" t="s">
        <v>13</v>
      </c>
      <c r="N6" s="198"/>
      <c r="O6" s="199"/>
    </row>
    <row r="7" spans="1:15">
      <c r="A7" s="197">
        <v>308.8</v>
      </c>
      <c r="B7" s="197"/>
      <c r="C7" s="197"/>
      <c r="E7" s="197">
        <v>229.48</v>
      </c>
      <c r="F7" s="197"/>
      <c r="G7" s="197"/>
      <c r="I7" s="203" t="s">
        <v>14</v>
      </c>
      <c r="J7" s="194"/>
      <c r="K7" s="194"/>
      <c r="M7" s="204" t="s">
        <v>15</v>
      </c>
      <c r="N7" s="205"/>
      <c r="O7" s="205"/>
    </row>
    <row r="8" spans="1:15">
      <c r="A8" s="197"/>
      <c r="B8" s="197"/>
      <c r="C8" s="197"/>
      <c r="E8" s="197"/>
      <c r="F8" s="197"/>
      <c r="G8" s="197"/>
      <c r="I8" s="194"/>
      <c r="J8" s="194"/>
      <c r="K8" s="194"/>
      <c r="M8" s="205"/>
      <c r="N8" s="205"/>
      <c r="O8" s="205"/>
    </row>
    <row r="10" spans="1:15">
      <c r="A10" s="198" t="s">
        <v>16</v>
      </c>
      <c r="B10" s="198"/>
      <c r="C10" s="199"/>
      <c r="E10" s="198" t="s">
        <v>17</v>
      </c>
      <c r="F10" s="198"/>
      <c r="G10" s="198"/>
      <c r="I10" s="200" t="s">
        <v>18</v>
      </c>
      <c r="J10" s="200"/>
      <c r="K10" s="200"/>
      <c r="M10" s="200" t="s">
        <v>19</v>
      </c>
      <c r="N10" s="200"/>
      <c r="O10" s="200"/>
    </row>
    <row r="11" spans="1:15">
      <c r="A11" s="197">
        <v>4.63</v>
      </c>
      <c r="B11" s="197"/>
      <c r="C11" s="197"/>
      <c r="E11" s="197">
        <v>4690</v>
      </c>
      <c r="F11" s="197"/>
      <c r="G11" s="197"/>
      <c r="I11" s="195" t="s">
        <v>20</v>
      </c>
      <c r="J11" s="196"/>
      <c r="K11" s="196"/>
      <c r="M11" s="194">
        <v>1.2</v>
      </c>
      <c r="N11" s="194"/>
      <c r="O11" s="194"/>
    </row>
    <row r="12" spans="1:15">
      <c r="A12" s="197"/>
      <c r="B12" s="197"/>
      <c r="C12" s="197"/>
      <c r="E12" s="197"/>
      <c r="F12" s="197"/>
      <c r="G12" s="197"/>
      <c r="I12" s="196"/>
      <c r="J12" s="196"/>
      <c r="K12" s="196"/>
      <c r="M12" s="194"/>
      <c r="N12" s="194"/>
      <c r="O12" s="194"/>
    </row>
    <row r="14" spans="1:15">
      <c r="A14" s="207" t="s">
        <v>21</v>
      </c>
      <c r="B14" s="207"/>
      <c r="C14" s="199"/>
      <c r="D14" s="199"/>
      <c r="E14" s="199"/>
      <c r="F14" s="199"/>
      <c r="G14" s="199"/>
      <c r="I14" s="208" t="s">
        <v>22</v>
      </c>
      <c r="J14" s="209"/>
      <c r="K14" s="209"/>
      <c r="L14" s="209"/>
      <c r="M14" s="209"/>
      <c r="N14" s="209"/>
      <c r="O14" s="210"/>
    </row>
    <row r="15" spans="1:15">
      <c r="A15" s="2"/>
      <c r="B15" s="8"/>
      <c r="C15" s="8"/>
      <c r="D15" s="8"/>
      <c r="E15" s="8"/>
      <c r="F15" s="8"/>
      <c r="G15" s="3"/>
      <c r="I15" s="2"/>
      <c r="J15" s="8"/>
      <c r="K15" s="8"/>
      <c r="L15" s="8"/>
      <c r="M15" s="8"/>
      <c r="N15" s="8"/>
      <c r="O15" s="3"/>
    </row>
    <row r="16" spans="1:15">
      <c r="A16" s="4"/>
      <c r="G16" s="5"/>
      <c r="I16" s="4"/>
      <c r="O16" s="5"/>
    </row>
    <row r="17" spans="1:16">
      <c r="A17" s="4"/>
      <c r="G17" s="5"/>
      <c r="I17" s="4"/>
      <c r="O17" s="5"/>
    </row>
    <row r="18" spans="1:16">
      <c r="A18" s="4"/>
      <c r="G18" s="5"/>
      <c r="I18" s="4"/>
      <c r="O18" s="5"/>
    </row>
    <row r="19" spans="1:16">
      <c r="A19" s="4"/>
      <c r="G19" s="5"/>
      <c r="I19" s="4"/>
      <c r="O19" s="5"/>
    </row>
    <row r="20" spans="1:16">
      <c r="A20" s="4"/>
      <c r="G20" s="5"/>
      <c r="I20" s="4"/>
      <c r="O20" s="5"/>
    </row>
    <row r="21" spans="1:16">
      <c r="A21" s="4"/>
      <c r="G21" s="5"/>
      <c r="I21" s="4"/>
      <c r="O21" s="5"/>
    </row>
    <row r="22" spans="1:16">
      <c r="A22" s="4"/>
      <c r="G22" s="5"/>
      <c r="I22" s="4"/>
      <c r="O22" s="5"/>
    </row>
    <row r="23" spans="1:16">
      <c r="A23" s="4"/>
      <c r="G23" s="5"/>
      <c r="I23" s="4"/>
      <c r="O23" s="5"/>
    </row>
    <row r="24" spans="1:16">
      <c r="A24" s="4"/>
      <c r="G24" s="5"/>
      <c r="I24" s="4"/>
      <c r="O24" s="5"/>
    </row>
    <row r="25" spans="1:16">
      <c r="A25" s="6"/>
      <c r="B25" s="9"/>
      <c r="C25" s="9"/>
      <c r="D25" s="9"/>
      <c r="E25" s="9"/>
      <c r="F25" s="9"/>
      <c r="G25" s="7"/>
      <c r="I25" s="6"/>
      <c r="J25" s="9"/>
      <c r="K25" s="9"/>
      <c r="L25" s="9"/>
      <c r="M25" s="9"/>
      <c r="N25" s="9"/>
      <c r="O25" s="7"/>
    </row>
    <row r="27" spans="1:16">
      <c r="A27" s="207" t="s">
        <v>23</v>
      </c>
      <c r="B27" s="207"/>
      <c r="C27" s="199"/>
      <c r="D27" s="199"/>
      <c r="E27" s="199"/>
      <c r="F27" s="199"/>
      <c r="G27" s="199"/>
      <c r="I27" s="202" t="s">
        <v>24</v>
      </c>
      <c r="J27" s="202"/>
      <c r="K27" s="202"/>
      <c r="L27" s="202"/>
      <c r="M27" s="202"/>
      <c r="N27" s="202"/>
      <c r="O27" s="202"/>
    </row>
    <row r="28" spans="1:16">
      <c r="A28" s="211" t="s">
        <v>25</v>
      </c>
      <c r="B28" s="211"/>
      <c r="C28" s="129" t="s">
        <v>26</v>
      </c>
      <c r="D28" s="129" t="s">
        <v>27</v>
      </c>
      <c r="E28" s="15" t="s">
        <v>28</v>
      </c>
      <c r="F28" s="129" t="s">
        <v>29</v>
      </c>
      <c r="G28" s="129" t="s">
        <v>30</v>
      </c>
      <c r="I28" s="212" t="s">
        <v>31</v>
      </c>
      <c r="J28" s="158"/>
      <c r="K28" s="210" t="s">
        <v>32</v>
      </c>
      <c r="L28" s="211"/>
      <c r="M28" s="10" t="s">
        <v>33</v>
      </c>
      <c r="N28" s="213" t="s">
        <v>34</v>
      </c>
      <c r="O28" s="214"/>
    </row>
    <row r="29" spans="1:16">
      <c r="A29" s="225" t="s">
        <v>35</v>
      </c>
      <c r="B29" s="226"/>
      <c r="C29" s="12">
        <v>394.3</v>
      </c>
      <c r="D29" s="14">
        <v>383.3</v>
      </c>
      <c r="E29" s="11">
        <v>391</v>
      </c>
      <c r="F29" s="12">
        <v>416.2</v>
      </c>
      <c r="G29" s="11">
        <v>437.01</v>
      </c>
      <c r="I29" s="215" t="s">
        <v>36</v>
      </c>
      <c r="J29" s="216"/>
      <c r="K29" s="219">
        <v>195.29</v>
      </c>
      <c r="L29" s="220"/>
      <c r="M29" s="223" t="s">
        <v>37</v>
      </c>
      <c r="N29" s="219">
        <f>K29*0.5</f>
        <v>97.644999999999996</v>
      </c>
      <c r="O29" s="220"/>
      <c r="P29" s="109"/>
    </row>
    <row r="30" spans="1:16">
      <c r="A30" s="225" t="s">
        <v>38</v>
      </c>
      <c r="B30" s="226"/>
      <c r="C30" s="12">
        <v>130.5</v>
      </c>
      <c r="D30" s="14">
        <v>125.8</v>
      </c>
      <c r="E30" s="11">
        <v>134.6</v>
      </c>
      <c r="F30" s="12">
        <v>145.80000000000001</v>
      </c>
      <c r="G30" s="11">
        <v>156.6</v>
      </c>
      <c r="I30" s="217"/>
      <c r="J30" s="218"/>
      <c r="K30" s="221"/>
      <c r="L30" s="222"/>
      <c r="M30" s="224"/>
      <c r="N30" s="221"/>
      <c r="O30" s="222"/>
      <c r="P30" s="109"/>
    </row>
    <row r="31" spans="1:16" ht="15" customHeight="1">
      <c r="A31" s="225" t="s">
        <v>39</v>
      </c>
      <c r="B31" s="226"/>
      <c r="C31" s="18">
        <v>0.33</v>
      </c>
      <c r="D31" s="13">
        <v>0.32</v>
      </c>
      <c r="E31" s="16">
        <v>0.34399999999999997</v>
      </c>
      <c r="F31" s="13">
        <v>0.34699999999999998</v>
      </c>
      <c r="G31" s="13">
        <v>0.35799999999999998</v>
      </c>
      <c r="I31" s="215" t="s">
        <v>40</v>
      </c>
      <c r="J31" s="248"/>
      <c r="K31" s="219">
        <v>274.64</v>
      </c>
      <c r="L31" s="220"/>
      <c r="M31" s="223" t="s">
        <v>41</v>
      </c>
      <c r="N31" s="219">
        <f>K31*0.3</f>
        <v>82.391999999999996</v>
      </c>
      <c r="O31" s="220"/>
      <c r="P31" s="109"/>
    </row>
    <row r="32" spans="1:16">
      <c r="A32" s="225" t="s">
        <v>42</v>
      </c>
      <c r="B32" s="226"/>
      <c r="C32" s="12">
        <v>33</v>
      </c>
      <c r="D32" s="11">
        <v>96.9</v>
      </c>
      <c r="E32" s="11">
        <v>93.7</v>
      </c>
      <c r="F32" s="11">
        <v>112</v>
      </c>
      <c r="G32" s="11">
        <v>120</v>
      </c>
      <c r="I32" s="249"/>
      <c r="J32" s="250"/>
      <c r="K32" s="221"/>
      <c r="L32" s="222"/>
      <c r="M32" s="224"/>
      <c r="N32" s="221"/>
      <c r="O32" s="222"/>
      <c r="P32" s="109"/>
    </row>
    <row r="33" spans="1:25" ht="15" customHeight="1">
      <c r="A33" s="225" t="s">
        <v>43</v>
      </c>
      <c r="B33" s="226"/>
      <c r="C33" s="12">
        <v>6.12</v>
      </c>
      <c r="D33" s="11">
        <v>6.13</v>
      </c>
      <c r="E33" s="11">
        <v>6.08</v>
      </c>
      <c r="F33" s="11">
        <v>7.46</v>
      </c>
      <c r="G33" s="11">
        <v>8.1</v>
      </c>
      <c r="I33" s="215" t="s">
        <v>44</v>
      </c>
      <c r="J33" s="246"/>
      <c r="K33" s="219">
        <v>247.19</v>
      </c>
      <c r="L33" s="220"/>
      <c r="M33" s="223" t="s">
        <v>45</v>
      </c>
      <c r="N33" s="219">
        <f>K33*0.2</f>
        <v>49.438000000000002</v>
      </c>
      <c r="O33" s="220"/>
      <c r="P33" s="109"/>
    </row>
    <row r="34" spans="1:25">
      <c r="A34" s="225" t="s">
        <v>46</v>
      </c>
      <c r="B34" s="226"/>
      <c r="C34" s="12">
        <v>111.4</v>
      </c>
      <c r="D34" s="11">
        <v>99.1</v>
      </c>
      <c r="E34" s="11">
        <v>108.8</v>
      </c>
      <c r="F34" s="11">
        <v>98.8</v>
      </c>
      <c r="G34" s="11">
        <v>107.5</v>
      </c>
      <c r="I34" s="217"/>
      <c r="J34" s="247"/>
      <c r="K34" s="221"/>
      <c r="L34" s="222"/>
      <c r="M34" s="224"/>
      <c r="N34" s="221"/>
      <c r="O34" s="222"/>
      <c r="P34" s="109"/>
    </row>
    <row r="35" spans="1:25">
      <c r="I35" s="251" t="s">
        <v>47</v>
      </c>
      <c r="J35" s="252"/>
      <c r="K35" s="252"/>
      <c r="L35" s="252"/>
      <c r="M35" s="252"/>
      <c r="N35" s="227">
        <f>N29+N31+N33</f>
        <v>229.47499999999997</v>
      </c>
      <c r="O35" s="228"/>
    </row>
    <row r="36" spans="1:25">
      <c r="A36" s="229" t="s">
        <v>48</v>
      </c>
      <c r="B36" s="230"/>
      <c r="C36" s="230"/>
      <c r="D36" s="230"/>
      <c r="E36" s="230"/>
      <c r="F36" s="230"/>
      <c r="G36" s="231"/>
      <c r="I36" s="237" t="s">
        <v>49</v>
      </c>
      <c r="J36" s="238"/>
      <c r="K36" s="238"/>
      <c r="L36" s="238"/>
      <c r="M36" s="238"/>
      <c r="N36" s="238"/>
      <c r="O36" s="239"/>
    </row>
    <row r="37" spans="1:25">
      <c r="A37" s="232"/>
      <c r="B37" s="181"/>
      <c r="C37" s="181"/>
      <c r="D37" s="181"/>
      <c r="E37" s="181"/>
      <c r="F37" s="181"/>
      <c r="G37" s="233"/>
      <c r="I37" s="240"/>
      <c r="J37" s="241"/>
      <c r="K37" s="241"/>
      <c r="L37" s="241"/>
      <c r="M37" s="241"/>
      <c r="N37" s="241"/>
      <c r="O37" s="242"/>
    </row>
    <row r="38" spans="1:25">
      <c r="A38" s="232"/>
      <c r="B38" s="181"/>
      <c r="C38" s="181"/>
      <c r="D38" s="181"/>
      <c r="E38" s="181"/>
      <c r="F38" s="181"/>
      <c r="G38" s="233"/>
      <c r="I38" s="240"/>
      <c r="J38" s="241"/>
      <c r="K38" s="241"/>
      <c r="L38" s="241"/>
      <c r="M38" s="241"/>
      <c r="N38" s="241"/>
      <c r="O38" s="242"/>
    </row>
    <row r="39" spans="1:25">
      <c r="A39" s="232"/>
      <c r="B39" s="181"/>
      <c r="C39" s="181"/>
      <c r="D39" s="181"/>
      <c r="E39" s="181"/>
      <c r="F39" s="181"/>
      <c r="G39" s="233"/>
      <c r="I39" s="240"/>
      <c r="J39" s="241"/>
      <c r="K39" s="241"/>
      <c r="L39" s="241"/>
      <c r="M39" s="241"/>
      <c r="N39" s="241"/>
      <c r="O39" s="242"/>
    </row>
    <row r="40" spans="1:25">
      <c r="A40" s="234"/>
      <c r="B40" s="235"/>
      <c r="C40" s="235"/>
      <c r="D40" s="235"/>
      <c r="E40" s="235"/>
      <c r="F40" s="235"/>
      <c r="G40" s="236"/>
      <c r="I40" s="243"/>
      <c r="J40" s="244"/>
      <c r="K40" s="244"/>
      <c r="L40" s="244"/>
      <c r="M40" s="244"/>
      <c r="N40" s="244"/>
      <c r="O40" s="245"/>
    </row>
    <row r="42" spans="1:25" ht="9.75" customHeight="1">
      <c r="A42" s="1"/>
      <c r="B42" s="1"/>
      <c r="C42" s="1"/>
      <c r="D42" s="1"/>
      <c r="E42" s="1"/>
      <c r="F42" s="1"/>
      <c r="G42" s="1"/>
      <c r="H42" s="1"/>
      <c r="I42" s="1"/>
      <c r="J42" s="1"/>
      <c r="K42" s="1"/>
      <c r="L42" s="1"/>
      <c r="M42" s="1"/>
      <c r="N42" s="1"/>
      <c r="O42" s="1"/>
      <c r="P42" s="53"/>
      <c r="Q42" s="53"/>
      <c r="R42" s="53"/>
      <c r="S42" s="53"/>
      <c r="T42" s="53"/>
      <c r="U42" s="53"/>
      <c r="V42" s="53"/>
      <c r="W42" s="53"/>
      <c r="X42" s="53"/>
      <c r="Y42" s="53"/>
    </row>
  </sheetData>
  <mergeCells count="47">
    <mergeCell ref="N35:O35"/>
    <mergeCell ref="M31:M32"/>
    <mergeCell ref="N31:O32"/>
    <mergeCell ref="A36:G40"/>
    <mergeCell ref="I36:O40"/>
    <mergeCell ref="A34:B34"/>
    <mergeCell ref="I33:J34"/>
    <mergeCell ref="A31:B31"/>
    <mergeCell ref="A32:B32"/>
    <mergeCell ref="A33:B33"/>
    <mergeCell ref="K33:L34"/>
    <mergeCell ref="N33:O34"/>
    <mergeCell ref="M33:M34"/>
    <mergeCell ref="I31:J32"/>
    <mergeCell ref="K31:L32"/>
    <mergeCell ref="I35:M35"/>
    <mergeCell ref="I29:J30"/>
    <mergeCell ref="K29:L30"/>
    <mergeCell ref="N29:O30"/>
    <mergeCell ref="M29:M30"/>
    <mergeCell ref="A29:B29"/>
    <mergeCell ref="A30:B30"/>
    <mergeCell ref="A14:G14"/>
    <mergeCell ref="I14:O14"/>
    <mergeCell ref="A27:G27"/>
    <mergeCell ref="I27:O27"/>
    <mergeCell ref="A28:B28"/>
    <mergeCell ref="I28:J28"/>
    <mergeCell ref="K28:L28"/>
    <mergeCell ref="N28:O28"/>
    <mergeCell ref="A1:O4"/>
    <mergeCell ref="A7:C8"/>
    <mergeCell ref="E7:G8"/>
    <mergeCell ref="I7:K8"/>
    <mergeCell ref="M7:O8"/>
    <mergeCell ref="E6:G6"/>
    <mergeCell ref="I6:K6"/>
    <mergeCell ref="M6:O6"/>
    <mergeCell ref="M11:O12"/>
    <mergeCell ref="I11:K12"/>
    <mergeCell ref="E11:G12"/>
    <mergeCell ref="A11:C12"/>
    <mergeCell ref="A6:C6"/>
    <mergeCell ref="A10:C10"/>
    <mergeCell ref="E10:G10"/>
    <mergeCell ref="I10:K10"/>
    <mergeCell ref="M10:O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58E7B-40D3-4D5B-89FF-3EF0757129BB}">
  <dimension ref="A1:K51"/>
  <sheetViews>
    <sheetView showGridLines="0" topLeftCell="A12" workbookViewId="0">
      <selection activeCell="A37" sqref="A37:E37"/>
    </sheetView>
  </sheetViews>
  <sheetFormatPr defaultRowHeight="15"/>
  <sheetData>
    <row r="1" spans="1:11" ht="26.25">
      <c r="A1" s="274" t="s">
        <v>50</v>
      </c>
      <c r="B1" s="146"/>
      <c r="C1" s="146"/>
      <c r="D1" s="146"/>
      <c r="E1" s="146"/>
      <c r="F1" s="146"/>
      <c r="G1" s="146"/>
      <c r="H1" s="146"/>
      <c r="I1" s="146"/>
      <c r="J1" s="146"/>
      <c r="K1" s="146"/>
    </row>
    <row r="2" spans="1:11">
      <c r="A2" s="275" t="s">
        <v>51</v>
      </c>
      <c r="B2" s="192"/>
      <c r="C2" s="192"/>
      <c r="D2" s="192"/>
      <c r="E2" s="192"/>
      <c r="F2" s="192"/>
      <c r="G2" s="192"/>
      <c r="H2" s="192"/>
      <c r="I2" s="192"/>
      <c r="J2" s="192"/>
    </row>
    <row r="3" spans="1:11" ht="18.75">
      <c r="A3" s="270" t="s">
        <v>52</v>
      </c>
      <c r="B3" s="158"/>
      <c r="C3" s="158"/>
      <c r="D3" s="158"/>
      <c r="E3" s="158"/>
      <c r="F3" s="270" t="s">
        <v>53</v>
      </c>
      <c r="G3" s="158"/>
      <c r="H3" s="276" t="s">
        <v>54</v>
      </c>
      <c r="I3" s="158"/>
      <c r="J3" s="276" t="s">
        <v>55</v>
      </c>
      <c r="K3" s="158"/>
    </row>
    <row r="4" spans="1:11">
      <c r="A4" s="261" t="s">
        <v>56</v>
      </c>
      <c r="B4" s="261"/>
      <c r="C4" s="261"/>
      <c r="D4" s="261"/>
      <c r="E4" s="261"/>
      <c r="F4" s="260">
        <v>383.2</v>
      </c>
      <c r="G4" s="260"/>
      <c r="H4" s="277">
        <v>391</v>
      </c>
      <c r="I4" s="278"/>
      <c r="J4" s="253">
        <v>416.1</v>
      </c>
      <c r="K4" s="254"/>
    </row>
    <row r="5" spans="1:11">
      <c r="A5" s="261" t="s">
        <v>57</v>
      </c>
      <c r="B5" s="261"/>
      <c r="C5" s="261"/>
      <c r="D5" s="261"/>
      <c r="E5" s="261"/>
      <c r="F5" s="253">
        <v>214.1</v>
      </c>
      <c r="G5" s="254"/>
      <c r="H5" s="271">
        <v>210.3</v>
      </c>
      <c r="I5" s="272"/>
      <c r="J5" s="253">
        <v>220.9</v>
      </c>
      <c r="K5" s="254"/>
    </row>
    <row r="6" spans="1:11">
      <c r="A6" s="263" t="s">
        <v>58</v>
      </c>
      <c r="B6" s="264"/>
      <c r="C6" s="264"/>
      <c r="D6" s="264"/>
      <c r="E6" s="264"/>
      <c r="F6" s="258">
        <f>F4-F5</f>
        <v>169.1</v>
      </c>
      <c r="G6" s="259"/>
      <c r="H6" s="258">
        <f>H4-H5</f>
        <v>180.7</v>
      </c>
      <c r="I6" s="259"/>
      <c r="J6" s="258">
        <f>J4-J5</f>
        <v>195.20000000000002</v>
      </c>
      <c r="K6" s="259"/>
    </row>
    <row r="7" spans="1:11">
      <c r="A7" s="266" t="s">
        <v>59</v>
      </c>
      <c r="B7" s="266"/>
      <c r="C7" s="266"/>
      <c r="D7" s="266"/>
      <c r="E7" s="266"/>
      <c r="F7" s="257">
        <f>F6/F4</f>
        <v>0.44128392484342382</v>
      </c>
      <c r="G7" s="257"/>
      <c r="H7" s="257">
        <f>H6/H4</f>
        <v>0.4621483375959079</v>
      </c>
      <c r="I7" s="257"/>
      <c r="J7" s="257">
        <f>J6/J4</f>
        <v>0.46911800048065372</v>
      </c>
      <c r="K7" s="257"/>
    </row>
    <row r="8" spans="1:11">
      <c r="A8" s="261" t="s">
        <v>60</v>
      </c>
      <c r="B8" s="261"/>
      <c r="C8" s="261"/>
      <c r="D8" s="261"/>
      <c r="E8" s="261"/>
      <c r="F8" s="260">
        <v>29.9</v>
      </c>
      <c r="G8" s="260"/>
      <c r="H8" s="253">
        <v>31.3</v>
      </c>
      <c r="I8" s="254"/>
      <c r="J8" s="253">
        <v>34.5</v>
      </c>
      <c r="K8" s="254"/>
    </row>
    <row r="9" spans="1:11">
      <c r="A9" s="261" t="s">
        <v>61</v>
      </c>
      <c r="B9" s="261"/>
      <c r="C9" s="261"/>
      <c r="D9" s="261"/>
      <c r="E9" s="261"/>
      <c r="F9" s="253">
        <v>24.9</v>
      </c>
      <c r="G9" s="254"/>
      <c r="H9" s="253">
        <v>26</v>
      </c>
      <c r="I9" s="254"/>
      <c r="J9" s="253">
        <v>27.6</v>
      </c>
      <c r="K9" s="254"/>
    </row>
    <row r="10" spans="1:11">
      <c r="A10" s="261" t="s">
        <v>62</v>
      </c>
      <c r="B10" s="261"/>
      <c r="C10" s="261"/>
      <c r="D10" s="261"/>
      <c r="E10" s="261"/>
      <c r="F10" s="253">
        <f>SUM(F8:F9)</f>
        <v>54.8</v>
      </c>
      <c r="G10" s="254"/>
      <c r="H10" s="253">
        <f>SUM(H8:H9)</f>
        <v>57.3</v>
      </c>
      <c r="I10" s="254"/>
      <c r="J10" s="253">
        <f>SUM(J8:J9)</f>
        <v>62.1</v>
      </c>
      <c r="K10" s="254"/>
    </row>
    <row r="11" spans="1:11">
      <c r="A11" s="266" t="s">
        <v>63</v>
      </c>
      <c r="B11" s="266"/>
      <c r="C11" s="266"/>
      <c r="D11" s="266"/>
      <c r="E11" s="266"/>
      <c r="F11" s="258">
        <f>F6-F10</f>
        <v>114.3</v>
      </c>
      <c r="G11" s="259"/>
      <c r="H11" s="258">
        <f>H6-H10</f>
        <v>123.39999999999999</v>
      </c>
      <c r="I11" s="259"/>
      <c r="J11" s="258">
        <f>J6-J10</f>
        <v>133.10000000000002</v>
      </c>
      <c r="K11" s="259"/>
    </row>
    <row r="12" spans="1:11">
      <c r="A12" s="266" t="s">
        <v>64</v>
      </c>
      <c r="B12" s="266"/>
      <c r="C12" s="266"/>
      <c r="D12" s="266"/>
      <c r="E12" s="266"/>
      <c r="F12" s="257">
        <f>F11/F4</f>
        <v>0.2982776617954071</v>
      </c>
      <c r="G12" s="257"/>
      <c r="H12" s="257">
        <f>H11/H4</f>
        <v>0.31560102301790277</v>
      </c>
      <c r="I12" s="257"/>
      <c r="J12" s="257">
        <f>J11/J4</f>
        <v>0.3198750300408556</v>
      </c>
      <c r="K12" s="257"/>
    </row>
    <row r="13" spans="1:11">
      <c r="A13" s="267" t="s">
        <v>65</v>
      </c>
      <c r="B13" s="261"/>
      <c r="C13" s="261"/>
      <c r="D13" s="261"/>
      <c r="E13" s="261"/>
      <c r="F13" s="260">
        <v>0.5</v>
      </c>
      <c r="G13" s="260"/>
      <c r="H13" s="253">
        <v>0.2</v>
      </c>
      <c r="I13" s="254"/>
      <c r="J13" s="253">
        <v>0.3</v>
      </c>
      <c r="K13" s="254"/>
    </row>
    <row r="14" spans="1:11">
      <c r="A14" s="261" t="s">
        <v>66</v>
      </c>
      <c r="B14" s="261"/>
      <c r="C14" s="261"/>
      <c r="D14" s="261"/>
      <c r="E14" s="261"/>
      <c r="F14" s="253">
        <f>F11-F13</f>
        <v>113.8</v>
      </c>
      <c r="G14" s="254"/>
      <c r="H14" s="253">
        <f>H11-H13</f>
        <v>123.19999999999999</v>
      </c>
      <c r="I14" s="254"/>
      <c r="J14" s="253">
        <f>J11-J13</f>
        <v>132.80000000000001</v>
      </c>
      <c r="K14" s="254"/>
    </row>
    <row r="15" spans="1:11">
      <c r="A15" s="261" t="s">
        <v>67</v>
      </c>
      <c r="B15" s="261"/>
      <c r="C15" s="261"/>
      <c r="D15" s="261"/>
      <c r="E15" s="261"/>
      <c r="F15" s="253">
        <v>16.7</v>
      </c>
      <c r="G15" s="254"/>
      <c r="H15" s="253">
        <v>29.7</v>
      </c>
      <c r="I15" s="254"/>
      <c r="J15" s="253">
        <v>20.7</v>
      </c>
      <c r="K15" s="254"/>
    </row>
    <row r="16" spans="1:11">
      <c r="A16" s="266" t="s">
        <v>68</v>
      </c>
      <c r="B16" s="266"/>
      <c r="C16" s="266"/>
      <c r="D16" s="266"/>
      <c r="E16" s="266"/>
      <c r="F16" s="258">
        <f>F14-F15</f>
        <v>97.1</v>
      </c>
      <c r="G16" s="259"/>
      <c r="H16" s="258">
        <f>H14-H15</f>
        <v>93.499999999999986</v>
      </c>
      <c r="I16" s="259"/>
      <c r="J16" s="258">
        <f>J14-J15</f>
        <v>112.10000000000001</v>
      </c>
      <c r="K16" s="259"/>
    </row>
    <row r="17" spans="1:11">
      <c r="A17" s="266" t="s">
        <v>69</v>
      </c>
      <c r="B17" s="266"/>
      <c r="C17" s="266"/>
      <c r="D17" s="266"/>
      <c r="E17" s="266"/>
      <c r="F17" s="257">
        <f>F16/F4</f>
        <v>0.25339248434237993</v>
      </c>
      <c r="G17" s="257"/>
      <c r="H17" s="257">
        <f>H16/H4</f>
        <v>0.23913043478260865</v>
      </c>
      <c r="I17" s="257"/>
      <c r="J17" s="257">
        <f>J16/J4</f>
        <v>0.26940639269406391</v>
      </c>
      <c r="K17" s="257"/>
    </row>
    <row r="18" spans="1:11">
      <c r="A18" s="266" t="s">
        <v>70</v>
      </c>
      <c r="B18" s="266"/>
      <c r="C18" s="266"/>
      <c r="D18" s="266"/>
      <c r="E18" s="266"/>
      <c r="F18" s="273">
        <v>6.14</v>
      </c>
      <c r="G18" s="273"/>
      <c r="H18" s="258">
        <v>6.07</v>
      </c>
      <c r="I18" s="259"/>
      <c r="J18" s="258">
        <v>7.47</v>
      </c>
      <c r="K18" s="259"/>
    </row>
    <row r="19" spans="1:11">
      <c r="A19" s="192"/>
      <c r="B19" s="192"/>
      <c r="C19" s="192"/>
      <c r="D19" s="192"/>
      <c r="E19" s="192"/>
    </row>
    <row r="20" spans="1:11" ht="18.75">
      <c r="A20" s="270" t="s">
        <v>71</v>
      </c>
      <c r="B20" s="178"/>
      <c r="C20" s="178"/>
      <c r="D20" s="178"/>
      <c r="E20" s="178"/>
      <c r="F20" s="268" t="s">
        <v>53</v>
      </c>
      <c r="G20" s="269"/>
      <c r="H20" s="268" t="s">
        <v>54</v>
      </c>
      <c r="I20" s="269"/>
      <c r="J20" s="268" t="s">
        <v>55</v>
      </c>
      <c r="K20" s="269"/>
    </row>
    <row r="21" spans="1:11">
      <c r="A21" s="261" t="s">
        <v>72</v>
      </c>
      <c r="B21" s="261"/>
      <c r="C21" s="261"/>
      <c r="D21" s="261"/>
      <c r="E21" s="261"/>
      <c r="F21" s="260">
        <v>29.9</v>
      </c>
      <c r="G21" s="260"/>
      <c r="H21" s="253">
        <v>29.9</v>
      </c>
      <c r="I21" s="254"/>
      <c r="J21" s="253">
        <v>35.9</v>
      </c>
      <c r="K21" s="254"/>
    </row>
    <row r="22" spans="1:11">
      <c r="A22" s="267" t="s">
        <v>73</v>
      </c>
      <c r="B22" s="261"/>
      <c r="C22" s="261"/>
      <c r="D22" s="261"/>
      <c r="E22" s="261"/>
      <c r="F22" s="253">
        <v>29.5</v>
      </c>
      <c r="G22" s="254"/>
      <c r="H22" s="253">
        <v>33.4</v>
      </c>
      <c r="I22" s="254"/>
      <c r="J22" s="253">
        <v>39.700000000000003</v>
      </c>
      <c r="K22" s="254"/>
    </row>
    <row r="23" spans="1:11">
      <c r="A23" s="261" t="s">
        <v>74</v>
      </c>
      <c r="B23" s="261"/>
      <c r="C23" s="261"/>
      <c r="D23" s="261"/>
      <c r="E23" s="261"/>
      <c r="F23" s="253">
        <v>6.3</v>
      </c>
      <c r="G23" s="254"/>
      <c r="H23" s="253">
        <v>7.28</v>
      </c>
      <c r="I23" s="254"/>
      <c r="J23" s="253">
        <v>5.7</v>
      </c>
      <c r="K23" s="254"/>
    </row>
    <row r="24" spans="1:11">
      <c r="A24" s="261" t="s">
        <v>75</v>
      </c>
      <c r="B24" s="261"/>
      <c r="C24" s="261"/>
      <c r="D24" s="261"/>
      <c r="E24" s="261"/>
      <c r="F24" s="253">
        <v>77.5</v>
      </c>
      <c r="G24" s="254"/>
      <c r="H24" s="253">
        <v>82.2</v>
      </c>
      <c r="I24" s="254"/>
      <c r="J24" s="253">
        <v>66.3</v>
      </c>
      <c r="K24" s="254"/>
    </row>
    <row r="25" spans="1:11">
      <c r="A25" s="266" t="s">
        <v>76</v>
      </c>
      <c r="B25" s="266"/>
      <c r="C25" s="266"/>
      <c r="D25" s="266"/>
      <c r="E25" s="266"/>
      <c r="F25" s="258">
        <f>SUM(F21:F24)</f>
        <v>143.19999999999999</v>
      </c>
      <c r="G25" s="259"/>
      <c r="H25" s="258">
        <f>SUM(H21:H24)</f>
        <v>152.78</v>
      </c>
      <c r="I25" s="259"/>
      <c r="J25" s="258">
        <f>SUM(J21:J24)</f>
        <v>147.6</v>
      </c>
      <c r="K25" s="259"/>
    </row>
    <row r="26" spans="1:11">
      <c r="A26" s="261" t="s">
        <v>77</v>
      </c>
      <c r="B26" s="261"/>
      <c r="C26" s="261"/>
      <c r="D26" s="261"/>
      <c r="E26" s="261"/>
      <c r="F26" s="253">
        <v>43.7</v>
      </c>
      <c r="G26" s="254"/>
      <c r="H26" s="253">
        <v>45.6</v>
      </c>
      <c r="I26" s="254"/>
      <c r="J26" s="253">
        <v>49.8</v>
      </c>
      <c r="K26" s="254"/>
    </row>
    <row r="27" spans="1:11">
      <c r="A27" s="261" t="s">
        <v>78</v>
      </c>
      <c r="B27" s="261"/>
      <c r="C27" s="261"/>
      <c r="D27" s="261"/>
      <c r="E27" s="261"/>
      <c r="F27" s="253">
        <v>100.5</v>
      </c>
      <c r="G27" s="254"/>
      <c r="H27" s="253">
        <v>91.4</v>
      </c>
      <c r="I27" s="254"/>
      <c r="J27" s="253">
        <v>77.7</v>
      </c>
      <c r="K27" s="254"/>
    </row>
    <row r="28" spans="1:11">
      <c r="A28" s="261" t="s">
        <v>79</v>
      </c>
      <c r="B28" s="261"/>
      <c r="C28" s="261"/>
      <c r="D28" s="261"/>
      <c r="E28" s="261"/>
      <c r="F28" s="253">
        <v>64.7</v>
      </c>
      <c r="G28" s="254"/>
      <c r="H28" s="253">
        <v>74.8</v>
      </c>
      <c r="I28" s="254"/>
      <c r="J28" s="253">
        <v>83.727000000000004</v>
      </c>
      <c r="K28" s="254"/>
    </row>
    <row r="29" spans="1:11">
      <c r="A29" s="262" t="s">
        <v>80</v>
      </c>
      <c r="B29" s="262"/>
      <c r="C29" s="262"/>
      <c r="D29" s="262"/>
      <c r="E29" s="262"/>
      <c r="F29" s="255">
        <f>SUM(F25:G28)</f>
        <v>352.09999999999997</v>
      </c>
      <c r="G29" s="256"/>
      <c r="H29" s="255">
        <f>SUM(H25:H28)</f>
        <v>364.58</v>
      </c>
      <c r="I29" s="256"/>
      <c r="J29" s="255">
        <f>SUM(J25:K28)</f>
        <v>358.827</v>
      </c>
      <c r="K29" s="256"/>
    </row>
    <row r="30" spans="1:11">
      <c r="A30" s="261" t="s">
        <v>81</v>
      </c>
      <c r="B30" s="261"/>
      <c r="C30" s="261"/>
      <c r="D30" s="261"/>
      <c r="E30" s="261"/>
      <c r="F30" s="253">
        <v>105</v>
      </c>
      <c r="G30" s="254"/>
      <c r="H30" s="253">
        <v>96.6</v>
      </c>
      <c r="I30" s="254"/>
      <c r="J30" s="253">
        <v>90.6</v>
      </c>
      <c r="K30" s="254"/>
    </row>
    <row r="31" spans="1:11">
      <c r="A31" s="261" t="s">
        <v>82</v>
      </c>
      <c r="B31" s="261"/>
      <c r="C31" s="261"/>
      <c r="D31" s="261"/>
      <c r="E31" s="261"/>
      <c r="F31" s="253">
        <v>62.6</v>
      </c>
      <c r="G31" s="254"/>
      <c r="H31" s="253">
        <v>68.900000000000006</v>
      </c>
      <c r="I31" s="254"/>
      <c r="J31" s="253">
        <v>69.8</v>
      </c>
      <c r="K31" s="254"/>
    </row>
    <row r="32" spans="1:11">
      <c r="A32" s="261" t="s">
        <v>83</v>
      </c>
      <c r="B32" s="261"/>
      <c r="C32" s="261"/>
      <c r="D32" s="261"/>
      <c r="E32" s="261"/>
      <c r="F32" s="253">
        <v>122.5</v>
      </c>
      <c r="G32" s="254"/>
      <c r="H32" s="253">
        <v>142.19999999999999</v>
      </c>
      <c r="I32" s="254"/>
      <c r="J32" s="253">
        <v>124.7</v>
      </c>
      <c r="K32" s="254"/>
    </row>
    <row r="33" spans="1:11">
      <c r="A33" s="263" t="s">
        <v>84</v>
      </c>
      <c r="B33" s="263"/>
      <c r="C33" s="263"/>
      <c r="D33" s="263"/>
      <c r="E33" s="263"/>
      <c r="F33" s="255">
        <f>SUM(F30:F32)</f>
        <v>290.10000000000002</v>
      </c>
      <c r="G33" s="256"/>
      <c r="H33" s="255">
        <f>SUM(H30:H32)</f>
        <v>307.7</v>
      </c>
      <c r="I33" s="256"/>
      <c r="J33" s="255">
        <f>SUM(J30:J32)</f>
        <v>285.09999999999997</v>
      </c>
      <c r="K33" s="256"/>
    </row>
    <row r="34" spans="1:11">
      <c r="A34" s="262" t="s">
        <v>85</v>
      </c>
      <c r="B34" s="262"/>
      <c r="C34" s="262"/>
      <c r="D34" s="262"/>
      <c r="E34" s="262"/>
      <c r="F34" s="255">
        <f>F29-F33</f>
        <v>61.999999999999943</v>
      </c>
      <c r="G34" s="256"/>
      <c r="H34" s="255">
        <f>H29-H33</f>
        <v>56.879999999999995</v>
      </c>
      <c r="I34" s="256"/>
      <c r="J34" s="255">
        <f>J29-J33</f>
        <v>73.727000000000032</v>
      </c>
      <c r="K34" s="256"/>
    </row>
    <row r="35" spans="1:11">
      <c r="A35" s="265" t="s">
        <v>86</v>
      </c>
      <c r="B35" s="265"/>
      <c r="C35" s="265"/>
      <c r="D35" s="265"/>
      <c r="E35" s="265"/>
      <c r="F35" s="258">
        <f>SUM(F33:G34)</f>
        <v>352.09999999999997</v>
      </c>
      <c r="G35" s="259"/>
      <c r="H35" s="258">
        <f>SUM(H33:H34)</f>
        <v>364.58</v>
      </c>
      <c r="I35" s="259"/>
      <c r="J35" s="258">
        <f>SUM(J33:J34)</f>
        <v>358.827</v>
      </c>
      <c r="K35" s="259"/>
    </row>
    <row r="36" spans="1:11">
      <c r="A36" s="192"/>
      <c r="B36" s="192"/>
      <c r="C36" s="192"/>
      <c r="D36" s="192"/>
      <c r="E36" s="192"/>
      <c r="J36" s="192"/>
      <c r="K36" s="192"/>
    </row>
    <row r="37" spans="1:11">
      <c r="A37" s="202" t="s">
        <v>87</v>
      </c>
      <c r="B37" s="202"/>
      <c r="C37" s="202"/>
      <c r="D37" s="202"/>
      <c r="E37" s="202"/>
      <c r="F37" s="178" t="s">
        <v>53</v>
      </c>
      <c r="G37" s="178"/>
      <c r="H37" s="178" t="s">
        <v>54</v>
      </c>
      <c r="I37" s="178"/>
      <c r="J37" s="178" t="s">
        <v>55</v>
      </c>
      <c r="K37" s="178"/>
    </row>
    <row r="38" spans="1:11">
      <c r="A38" s="261" t="s">
        <v>68</v>
      </c>
      <c r="B38" s="261"/>
      <c r="C38" s="261"/>
      <c r="D38" s="261"/>
      <c r="E38" s="261"/>
      <c r="F38" s="254">
        <v>96.9</v>
      </c>
      <c r="G38" s="260"/>
      <c r="H38" s="253">
        <v>93.7</v>
      </c>
      <c r="I38" s="254"/>
      <c r="J38" s="253">
        <v>112</v>
      </c>
      <c r="K38" s="254"/>
    </row>
    <row r="39" spans="1:11">
      <c r="A39" s="261" t="s">
        <v>88</v>
      </c>
      <c r="B39" s="261"/>
      <c r="C39" s="261"/>
      <c r="D39" s="261"/>
      <c r="E39" s="261"/>
      <c r="F39" s="253">
        <v>11.5</v>
      </c>
      <c r="G39" s="254"/>
      <c r="H39" s="253">
        <v>11.4</v>
      </c>
      <c r="I39" s="254"/>
      <c r="J39" s="253">
        <v>11.6</v>
      </c>
      <c r="K39" s="254"/>
    </row>
    <row r="40" spans="1:11">
      <c r="A40" s="261" t="s">
        <v>89</v>
      </c>
      <c r="B40" s="261"/>
      <c r="C40" s="261"/>
      <c r="D40" s="261"/>
      <c r="E40" s="261"/>
      <c r="F40" s="253">
        <v>10.8</v>
      </c>
      <c r="G40" s="254"/>
      <c r="H40" s="253">
        <v>11.6</v>
      </c>
      <c r="I40" s="254"/>
      <c r="J40" s="253">
        <v>12.8</v>
      </c>
      <c r="K40" s="254"/>
    </row>
    <row r="41" spans="1:11">
      <c r="A41" s="261" t="s">
        <v>90</v>
      </c>
      <c r="B41" s="261"/>
      <c r="C41" s="261"/>
      <c r="D41" s="261"/>
      <c r="E41" s="261"/>
      <c r="F41" s="253">
        <v>-6.5</v>
      </c>
      <c r="G41" s="254"/>
      <c r="H41" s="253">
        <v>3.6</v>
      </c>
      <c r="I41" s="254"/>
      <c r="J41" s="253">
        <v>-24.7</v>
      </c>
      <c r="K41" s="254"/>
    </row>
    <row r="42" spans="1:11">
      <c r="A42" s="263" t="s">
        <v>91</v>
      </c>
      <c r="B42" s="264"/>
      <c r="C42" s="264"/>
      <c r="D42" s="264"/>
      <c r="E42" s="264"/>
      <c r="F42" s="255">
        <v>110.5</v>
      </c>
      <c r="G42" s="256"/>
      <c r="H42" s="255">
        <v>118.2</v>
      </c>
      <c r="I42" s="256"/>
      <c r="J42" s="255">
        <v>111.4</v>
      </c>
      <c r="K42" s="256"/>
    </row>
    <row r="43" spans="1:11">
      <c r="A43" s="261" t="s">
        <v>92</v>
      </c>
      <c r="B43" s="261"/>
      <c r="C43" s="261"/>
      <c r="D43" s="261"/>
      <c r="E43" s="261"/>
      <c r="F43" s="253">
        <v>-9.4</v>
      </c>
      <c r="G43" s="254"/>
      <c r="H43" s="253">
        <v>-10.9</v>
      </c>
      <c r="I43" s="254"/>
      <c r="J43" s="253">
        <v>-12.7</v>
      </c>
      <c r="K43" s="254"/>
    </row>
    <row r="44" spans="1:11">
      <c r="A44" s="262" t="s">
        <v>93</v>
      </c>
      <c r="B44" s="262"/>
      <c r="C44" s="262"/>
      <c r="D44" s="262"/>
      <c r="E44" s="262"/>
      <c r="F44" s="255">
        <f>SUM(F42:G43)</f>
        <v>101.1</v>
      </c>
      <c r="G44" s="256"/>
      <c r="H44" s="255">
        <f>SUM(H42:I43)</f>
        <v>107.3</v>
      </c>
      <c r="I44" s="256"/>
      <c r="J44" s="255">
        <f>SUM(J42:K43)</f>
        <v>98.7</v>
      </c>
      <c r="K44" s="256"/>
    </row>
    <row r="45" spans="1:11">
      <c r="A45" s="261" t="s">
        <v>94</v>
      </c>
      <c r="B45" s="261"/>
      <c r="C45" s="261"/>
      <c r="D45" s="261"/>
      <c r="E45" s="261"/>
      <c r="F45" s="253">
        <v>3.7</v>
      </c>
      <c r="G45" s="254"/>
      <c r="H45" s="253">
        <v>2.9</v>
      </c>
      <c r="I45" s="254"/>
      <c r="J45" s="253">
        <v>15.1</v>
      </c>
      <c r="K45" s="254"/>
    </row>
    <row r="46" spans="1:11">
      <c r="A46" s="261" t="s">
        <v>95</v>
      </c>
      <c r="B46" s="261"/>
      <c r="C46" s="261"/>
      <c r="D46" s="261"/>
      <c r="E46" s="261"/>
      <c r="F46" s="253">
        <v>-108.4</v>
      </c>
      <c r="G46" s="254"/>
      <c r="H46" s="253">
        <v>-121.9</v>
      </c>
      <c r="I46" s="254"/>
      <c r="J46" s="253">
        <v>-120.6</v>
      </c>
      <c r="K46" s="254"/>
    </row>
    <row r="47" spans="1:11">
      <c r="A47" s="262" t="s">
        <v>96</v>
      </c>
      <c r="B47" s="262"/>
      <c r="C47" s="262"/>
      <c r="D47" s="262"/>
      <c r="E47" s="262"/>
      <c r="F47" s="255">
        <f>F42+F45+F46</f>
        <v>5.7999999999999972</v>
      </c>
      <c r="G47" s="256"/>
      <c r="H47" s="255">
        <f>H42+H45+H46</f>
        <v>-0.79999999999999716</v>
      </c>
      <c r="I47" s="256"/>
      <c r="J47" s="255">
        <f>J42+J45+J46</f>
        <v>5.9000000000000057</v>
      </c>
      <c r="K47" s="256"/>
    </row>
    <row r="48" spans="1:11">
      <c r="A48" s="261" t="s">
        <v>97</v>
      </c>
      <c r="B48" s="261"/>
      <c r="C48" s="261"/>
      <c r="D48" s="261"/>
      <c r="E48" s="261"/>
      <c r="F48" s="253">
        <v>30.7</v>
      </c>
      <c r="G48" s="254"/>
      <c r="H48" s="253">
        <v>29.9</v>
      </c>
      <c r="I48" s="254"/>
      <c r="J48" s="253">
        <v>35.9</v>
      </c>
      <c r="K48" s="254"/>
    </row>
    <row r="49" spans="1:5">
      <c r="A49" s="192"/>
      <c r="B49" s="192"/>
      <c r="C49" s="192"/>
      <c r="D49" s="192"/>
      <c r="E49" s="192"/>
    </row>
    <row r="50" spans="1:5">
      <c r="A50" s="192"/>
      <c r="B50" s="192"/>
      <c r="C50" s="192"/>
      <c r="D50" s="192"/>
      <c r="E50" s="192"/>
    </row>
    <row r="51" spans="1:5">
      <c r="A51" s="192"/>
      <c r="B51" s="192"/>
      <c r="C51" s="192"/>
      <c r="D51" s="192"/>
      <c r="E51" s="192"/>
    </row>
  </sheetData>
  <mergeCells count="184">
    <mergeCell ref="F42:G42"/>
    <mergeCell ref="A1:K1"/>
    <mergeCell ref="A2:J2"/>
    <mergeCell ref="A3:E3"/>
    <mergeCell ref="F3:G3"/>
    <mergeCell ref="H3:I3"/>
    <mergeCell ref="J3:K3"/>
    <mergeCell ref="H4:I4"/>
    <mergeCell ref="J4:K4"/>
    <mergeCell ref="F5:G5"/>
    <mergeCell ref="A4:E4"/>
    <mergeCell ref="A5:E5"/>
    <mergeCell ref="J5:K5"/>
    <mergeCell ref="A14:E14"/>
    <mergeCell ref="A15:E15"/>
    <mergeCell ref="A6:E6"/>
    <mergeCell ref="A7:E7"/>
    <mergeCell ref="A8:E8"/>
    <mergeCell ref="A9:E9"/>
    <mergeCell ref="F10:G10"/>
    <mergeCell ref="F11:G11"/>
    <mergeCell ref="F12:G12"/>
    <mergeCell ref="F13:G13"/>
    <mergeCell ref="F14:G14"/>
    <mergeCell ref="F15:G15"/>
    <mergeCell ref="A23:E23"/>
    <mergeCell ref="A18:E18"/>
    <mergeCell ref="F4:G4"/>
    <mergeCell ref="A20:E20"/>
    <mergeCell ref="A22:E22"/>
    <mergeCell ref="A21:E21"/>
    <mergeCell ref="H9:I9"/>
    <mergeCell ref="H8:I8"/>
    <mergeCell ref="H6:I6"/>
    <mergeCell ref="H5:I5"/>
    <mergeCell ref="F18:G18"/>
    <mergeCell ref="H18:I18"/>
    <mergeCell ref="H17:I17"/>
    <mergeCell ref="H16:I16"/>
    <mergeCell ref="F6:G6"/>
    <mergeCell ref="F7:G7"/>
    <mergeCell ref="F8:G8"/>
    <mergeCell ref="A16:E16"/>
    <mergeCell ref="A17:E17"/>
    <mergeCell ref="A19:E19"/>
    <mergeCell ref="A10:E10"/>
    <mergeCell ref="A11:E11"/>
    <mergeCell ref="A12:E12"/>
    <mergeCell ref="A13:E13"/>
    <mergeCell ref="J6:K6"/>
    <mergeCell ref="J7:K7"/>
    <mergeCell ref="J8:K8"/>
    <mergeCell ref="J9:K9"/>
    <mergeCell ref="J16:K16"/>
    <mergeCell ref="J17:K17"/>
    <mergeCell ref="J18:K18"/>
    <mergeCell ref="F20:G20"/>
    <mergeCell ref="H20:I20"/>
    <mergeCell ref="J20:K20"/>
    <mergeCell ref="J10:K10"/>
    <mergeCell ref="J11:K11"/>
    <mergeCell ref="J12:K12"/>
    <mergeCell ref="J13:K13"/>
    <mergeCell ref="J14:K14"/>
    <mergeCell ref="J15:K15"/>
    <mergeCell ref="H15:I15"/>
    <mergeCell ref="H14:I14"/>
    <mergeCell ref="H13:I13"/>
    <mergeCell ref="H12:I12"/>
    <mergeCell ref="H11:I11"/>
    <mergeCell ref="H10:I10"/>
    <mergeCell ref="F16:G16"/>
    <mergeCell ref="F37:G37"/>
    <mergeCell ref="H37:I37"/>
    <mergeCell ref="J37:K37"/>
    <mergeCell ref="A38:E38"/>
    <mergeCell ref="J36:K36"/>
    <mergeCell ref="F38:G38"/>
    <mergeCell ref="J38:K38"/>
    <mergeCell ref="F17:G17"/>
    <mergeCell ref="A30:E30"/>
    <mergeCell ref="A31:E31"/>
    <mergeCell ref="A32:E32"/>
    <mergeCell ref="A33:E33"/>
    <mergeCell ref="A34:E34"/>
    <mergeCell ref="A35:E35"/>
    <mergeCell ref="A24:E24"/>
    <mergeCell ref="A25:E25"/>
    <mergeCell ref="A26:E26"/>
    <mergeCell ref="A27:E27"/>
    <mergeCell ref="A29:E29"/>
    <mergeCell ref="A28:E28"/>
    <mergeCell ref="F34:G34"/>
    <mergeCell ref="F35:G35"/>
    <mergeCell ref="J24:K24"/>
    <mergeCell ref="J25:K25"/>
    <mergeCell ref="A51:E51"/>
    <mergeCell ref="F21:G21"/>
    <mergeCell ref="F22:G22"/>
    <mergeCell ref="F23:G23"/>
    <mergeCell ref="F24:G24"/>
    <mergeCell ref="F25:G25"/>
    <mergeCell ref="F26:G26"/>
    <mergeCell ref="F27:G27"/>
    <mergeCell ref="F28:G28"/>
    <mergeCell ref="F29:G29"/>
    <mergeCell ref="A45:E45"/>
    <mergeCell ref="A46:E46"/>
    <mergeCell ref="A47:E47"/>
    <mergeCell ref="A48:E48"/>
    <mergeCell ref="A49:E49"/>
    <mergeCell ref="A50:E50"/>
    <mergeCell ref="A39:E39"/>
    <mergeCell ref="A40:E40"/>
    <mergeCell ref="A41:E41"/>
    <mergeCell ref="A42:E42"/>
    <mergeCell ref="A43:E43"/>
    <mergeCell ref="A44:E44"/>
    <mergeCell ref="A36:E36"/>
    <mergeCell ref="A37:E37"/>
    <mergeCell ref="J26:K26"/>
    <mergeCell ref="J27:K27"/>
    <mergeCell ref="J28:K28"/>
    <mergeCell ref="J29:K29"/>
    <mergeCell ref="H23:I23"/>
    <mergeCell ref="H22:I22"/>
    <mergeCell ref="H21:I21"/>
    <mergeCell ref="J21:K21"/>
    <mergeCell ref="J22:K22"/>
    <mergeCell ref="J23:K23"/>
    <mergeCell ref="H29:I29"/>
    <mergeCell ref="H28:I28"/>
    <mergeCell ref="H27:I27"/>
    <mergeCell ref="H26:I26"/>
    <mergeCell ref="H25:I25"/>
    <mergeCell ref="H24:I24"/>
    <mergeCell ref="H47:I47"/>
    <mergeCell ref="H46:I46"/>
    <mergeCell ref="H45:I45"/>
    <mergeCell ref="F39:G39"/>
    <mergeCell ref="F40:G40"/>
    <mergeCell ref="F41:G41"/>
    <mergeCell ref="F43:G43"/>
    <mergeCell ref="F44:G44"/>
    <mergeCell ref="J30:K30"/>
    <mergeCell ref="J31:K31"/>
    <mergeCell ref="J32:K32"/>
    <mergeCell ref="J33:K33"/>
    <mergeCell ref="J34:K34"/>
    <mergeCell ref="J35:K35"/>
    <mergeCell ref="H35:I35"/>
    <mergeCell ref="H34:I34"/>
    <mergeCell ref="H33:I33"/>
    <mergeCell ref="H32:I32"/>
    <mergeCell ref="H31:I31"/>
    <mergeCell ref="H30:I30"/>
    <mergeCell ref="F30:G30"/>
    <mergeCell ref="F31:G31"/>
    <mergeCell ref="F32:G32"/>
    <mergeCell ref="F33:G33"/>
    <mergeCell ref="J45:K45"/>
    <mergeCell ref="J46:K46"/>
    <mergeCell ref="J47:K47"/>
    <mergeCell ref="J48:K48"/>
    <mergeCell ref="H7:I7"/>
    <mergeCell ref="F9:G9"/>
    <mergeCell ref="J39:K39"/>
    <mergeCell ref="J40:K40"/>
    <mergeCell ref="J41:K41"/>
    <mergeCell ref="J42:K42"/>
    <mergeCell ref="J43:K43"/>
    <mergeCell ref="J44:K44"/>
    <mergeCell ref="H44:I44"/>
    <mergeCell ref="H43:I43"/>
    <mergeCell ref="H38:I38"/>
    <mergeCell ref="H39:I39"/>
    <mergeCell ref="H40:I40"/>
    <mergeCell ref="H41:I41"/>
    <mergeCell ref="H42:I42"/>
    <mergeCell ref="F45:G45"/>
    <mergeCell ref="F46:G46"/>
    <mergeCell ref="F47:G47"/>
    <mergeCell ref="F48:G48"/>
    <mergeCell ref="H48:I4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B9B5-E224-4EBD-BF15-2285D8F7FC06}">
  <dimension ref="A2:N105"/>
  <sheetViews>
    <sheetView showGridLines="0" topLeftCell="A6" workbookViewId="0">
      <selection activeCell="M14" sqref="M14"/>
    </sheetView>
  </sheetViews>
  <sheetFormatPr defaultRowHeight="15"/>
  <cols>
    <col min="2" max="2" width="25" customWidth="1"/>
    <col min="8" max="8" width="11.42578125" customWidth="1"/>
    <col min="9" max="9" width="2" customWidth="1"/>
    <col min="10" max="10" width="24.28515625" customWidth="1"/>
    <col min="11" max="11" width="38.42578125" customWidth="1"/>
  </cols>
  <sheetData>
    <row r="2" spans="1:14" ht="26.25">
      <c r="A2" s="146" t="s">
        <v>98</v>
      </c>
      <c r="B2" s="146"/>
      <c r="C2" s="146"/>
      <c r="D2" s="146"/>
      <c r="E2" s="146"/>
      <c r="F2" s="146"/>
      <c r="G2" s="146"/>
      <c r="H2" s="146"/>
      <c r="I2" s="146"/>
      <c r="J2" s="146"/>
      <c r="K2" s="146"/>
    </row>
    <row r="3" spans="1:14">
      <c r="A3" s="192" t="s">
        <v>99</v>
      </c>
      <c r="B3" s="192"/>
      <c r="C3" s="192"/>
      <c r="D3" s="192"/>
      <c r="E3" s="192"/>
      <c r="F3" s="192"/>
      <c r="G3" s="192"/>
      <c r="H3" s="192"/>
      <c r="I3" s="192"/>
      <c r="J3" s="192"/>
      <c r="K3" s="192"/>
    </row>
    <row r="5" spans="1:14" ht="23.25">
      <c r="A5" s="290" t="s">
        <v>100</v>
      </c>
      <c r="B5" s="290"/>
      <c r="C5" s="290"/>
      <c r="D5" s="290"/>
      <c r="E5" s="290"/>
      <c r="F5" s="290"/>
      <c r="G5" s="290"/>
      <c r="H5" s="290"/>
      <c r="I5" s="17"/>
      <c r="J5" s="287" t="s">
        <v>101</v>
      </c>
      <c r="K5" s="202"/>
      <c r="L5" s="17"/>
      <c r="M5" s="17"/>
      <c r="N5" s="17"/>
    </row>
    <row r="6" spans="1:14" ht="6.75" customHeight="1">
      <c r="A6" s="192"/>
      <c r="B6" s="192"/>
      <c r="C6" s="192"/>
      <c r="D6" s="192"/>
      <c r="E6" s="192"/>
      <c r="F6" s="192"/>
      <c r="G6" s="192"/>
      <c r="H6" s="192"/>
    </row>
    <row r="7" spans="1:14">
      <c r="A7" s="207" t="s">
        <v>102</v>
      </c>
      <c r="B7" s="199"/>
      <c r="C7" s="207" t="s">
        <v>53</v>
      </c>
      <c r="D7" s="199"/>
      <c r="E7" s="212" t="s">
        <v>54</v>
      </c>
      <c r="F7" s="158"/>
      <c r="G7" s="207" t="s">
        <v>55</v>
      </c>
      <c r="H7" s="199"/>
    </row>
    <row r="8" spans="1:14" ht="21" customHeight="1">
      <c r="A8" s="331" t="s">
        <v>103</v>
      </c>
      <c r="B8" s="331"/>
      <c r="C8" s="260">
        <v>200.5</v>
      </c>
      <c r="D8" s="260"/>
      <c r="E8" s="253">
        <v>201.1</v>
      </c>
      <c r="F8" s="254"/>
      <c r="G8" s="253">
        <v>209.5</v>
      </c>
      <c r="H8" s="254"/>
    </row>
    <row r="9" spans="1:14" ht="21" customHeight="1">
      <c r="A9" s="321" t="s">
        <v>104</v>
      </c>
      <c r="B9" s="261"/>
      <c r="C9" s="253">
        <v>29.3</v>
      </c>
      <c r="D9" s="254"/>
      <c r="E9" s="253">
        <v>29.9</v>
      </c>
      <c r="F9" s="254"/>
      <c r="G9" s="253">
        <v>33.700000000000003</v>
      </c>
      <c r="H9" s="254"/>
    </row>
    <row r="10" spans="1:14" ht="21" customHeight="1">
      <c r="A10" s="321" t="s">
        <v>105</v>
      </c>
      <c r="B10" s="261"/>
      <c r="C10" s="253">
        <v>28.3</v>
      </c>
      <c r="D10" s="254"/>
      <c r="E10" s="253">
        <v>26.6</v>
      </c>
      <c r="F10" s="254"/>
      <c r="G10" s="253">
        <v>28</v>
      </c>
      <c r="H10" s="254"/>
    </row>
    <row r="11" spans="1:14" ht="16.5" customHeight="1">
      <c r="A11" s="323" t="s">
        <v>106</v>
      </c>
      <c r="B11" s="324"/>
      <c r="C11" s="327">
        <v>39.799999999999997</v>
      </c>
      <c r="D11" s="328"/>
      <c r="E11" s="291">
        <v>37</v>
      </c>
      <c r="F11" s="292"/>
      <c r="G11" s="291">
        <v>35.6</v>
      </c>
      <c r="H11" s="292"/>
    </row>
    <row r="12" spans="1:14" ht="17.25" customHeight="1">
      <c r="A12" s="324"/>
      <c r="B12" s="324"/>
      <c r="C12" s="329"/>
      <c r="D12" s="330"/>
      <c r="E12" s="293"/>
      <c r="F12" s="294"/>
      <c r="G12" s="293"/>
      <c r="H12" s="294"/>
    </row>
    <row r="13" spans="1:14" ht="20.25" customHeight="1">
      <c r="A13" s="321" t="s">
        <v>107</v>
      </c>
      <c r="B13" s="261"/>
      <c r="C13" s="253">
        <v>85.2</v>
      </c>
      <c r="D13" s="254"/>
      <c r="E13" s="253">
        <v>96.1</v>
      </c>
      <c r="F13" s="254"/>
      <c r="G13" s="253">
        <v>109.1</v>
      </c>
      <c r="H13" s="254"/>
    </row>
    <row r="14" spans="1:14">
      <c r="A14" s="325" t="s">
        <v>108</v>
      </c>
      <c r="B14" s="326"/>
      <c r="C14" s="255">
        <f>SUM(C8:D13)</f>
        <v>383.1</v>
      </c>
      <c r="D14" s="256"/>
      <c r="E14" s="255">
        <f>SUM(E8:F13)</f>
        <v>390.70000000000005</v>
      </c>
      <c r="F14" s="256"/>
      <c r="G14" s="255">
        <f>SUM(G8:H13)</f>
        <v>415.9</v>
      </c>
      <c r="H14" s="256"/>
    </row>
    <row r="16" spans="1:14" ht="23.25">
      <c r="A16" s="290" t="s">
        <v>109</v>
      </c>
      <c r="B16" s="290"/>
      <c r="C16" s="290"/>
      <c r="D16" s="290"/>
      <c r="E16" s="290"/>
      <c r="F16" s="290"/>
      <c r="G16" s="290"/>
      <c r="H16" s="290"/>
    </row>
    <row r="17" spans="1:13" ht="6" customHeight="1"/>
    <row r="18" spans="1:13">
      <c r="A18" s="202" t="s">
        <v>110</v>
      </c>
      <c r="B18" s="202"/>
      <c r="C18" s="211" t="s">
        <v>111</v>
      </c>
      <c r="D18" s="211"/>
      <c r="E18" s="211"/>
      <c r="F18" s="178" t="s">
        <v>112</v>
      </c>
      <c r="G18" s="178"/>
      <c r="H18" s="178"/>
    </row>
    <row r="19" spans="1:13">
      <c r="A19" s="320" t="s">
        <v>103</v>
      </c>
      <c r="B19" s="261"/>
      <c r="C19" s="288">
        <v>2.8999999999999998E-3</v>
      </c>
      <c r="D19" s="261"/>
      <c r="E19" s="261"/>
      <c r="F19" s="289">
        <v>0.04</v>
      </c>
      <c r="G19" s="261"/>
      <c r="H19" s="261"/>
      <c r="M19" s="32"/>
    </row>
    <row r="20" spans="1:13">
      <c r="A20" s="265" t="s">
        <v>104</v>
      </c>
      <c r="B20" s="261"/>
      <c r="C20" s="288">
        <v>0.02</v>
      </c>
      <c r="D20" s="261"/>
      <c r="E20" s="261"/>
      <c r="F20" s="289">
        <v>0.12</v>
      </c>
      <c r="G20" s="288"/>
      <c r="H20" s="288"/>
      <c r="K20" s="45"/>
      <c r="M20" s="5"/>
    </row>
    <row r="21" spans="1:13">
      <c r="A21" s="265" t="s">
        <v>105</v>
      </c>
      <c r="B21" s="261"/>
      <c r="C21" s="288">
        <v>0.06</v>
      </c>
      <c r="D21" s="261"/>
      <c r="E21" s="261"/>
      <c r="F21" s="289">
        <v>0.05</v>
      </c>
      <c r="G21" s="261"/>
      <c r="H21" s="261"/>
    </row>
    <row r="22" spans="1:13" ht="23.25">
      <c r="A22" s="322" t="s">
        <v>113</v>
      </c>
      <c r="B22" s="261"/>
      <c r="C22" s="307">
        <v>7.0000000000000007E-2</v>
      </c>
      <c r="D22" s="308"/>
      <c r="E22" s="308"/>
      <c r="F22" s="309">
        <v>0.04</v>
      </c>
      <c r="G22" s="308"/>
      <c r="H22" s="308"/>
      <c r="J22" s="290" t="s">
        <v>114</v>
      </c>
      <c r="K22" s="290"/>
    </row>
    <row r="23" spans="1:13" ht="15" customHeight="1">
      <c r="A23" s="261"/>
      <c r="B23" s="261"/>
      <c r="C23" s="308"/>
      <c r="D23" s="308"/>
      <c r="E23" s="308"/>
      <c r="F23" s="310"/>
      <c r="G23" s="308"/>
      <c r="H23" s="308"/>
      <c r="J23" s="215" t="s">
        <v>115</v>
      </c>
      <c r="K23" s="248"/>
    </row>
    <row r="24" spans="1:13" ht="18.75" customHeight="1">
      <c r="A24" s="321" t="s">
        <v>107</v>
      </c>
      <c r="B24" s="261"/>
      <c r="C24" s="288">
        <v>0.13</v>
      </c>
      <c r="D24" s="261"/>
      <c r="E24" s="261"/>
      <c r="F24" s="289">
        <v>0.14000000000000001</v>
      </c>
      <c r="G24" s="261"/>
      <c r="H24" s="261"/>
      <c r="J24" s="285"/>
      <c r="K24" s="286"/>
    </row>
    <row r="25" spans="1:13" ht="17.25" customHeight="1">
      <c r="J25" s="285"/>
      <c r="K25" s="286"/>
    </row>
    <row r="26" spans="1:13" ht="21" customHeight="1">
      <c r="A26" s="290" t="s">
        <v>116</v>
      </c>
      <c r="B26" s="290"/>
      <c r="C26" s="290"/>
      <c r="D26" s="290"/>
      <c r="E26" s="290"/>
      <c r="F26" s="290"/>
      <c r="G26" s="290"/>
      <c r="H26" s="290"/>
      <c r="J26" s="285"/>
      <c r="K26" s="286"/>
    </row>
    <row r="27" spans="1:13" ht="3.75" customHeight="1">
      <c r="A27" s="192"/>
      <c r="B27" s="192"/>
      <c r="C27" s="192"/>
      <c r="D27" s="192"/>
      <c r="E27" s="192"/>
      <c r="F27" s="192"/>
      <c r="G27" s="192"/>
      <c r="H27" s="192"/>
      <c r="J27" s="285"/>
      <c r="K27" s="286"/>
    </row>
    <row r="28" spans="1:13" ht="12" customHeight="1">
      <c r="A28" s="212" t="s">
        <v>102</v>
      </c>
      <c r="B28" s="158"/>
      <c r="C28" s="158"/>
      <c r="D28" s="158"/>
      <c r="E28" s="279" t="s">
        <v>117</v>
      </c>
      <c r="F28" s="280"/>
      <c r="G28" s="280"/>
      <c r="H28" s="281"/>
      <c r="J28" s="285"/>
      <c r="K28" s="286"/>
    </row>
    <row r="29" spans="1:13" ht="18.75" customHeight="1">
      <c r="A29" s="311" t="s">
        <v>103</v>
      </c>
      <c r="B29" s="312"/>
      <c r="C29" s="312"/>
      <c r="D29" s="313"/>
      <c r="E29" s="282">
        <f>G8/G14</f>
        <v>0.50372685741764855</v>
      </c>
      <c r="F29" s="283"/>
      <c r="G29" s="283"/>
      <c r="H29" s="284"/>
      <c r="J29" s="285"/>
      <c r="K29" s="286"/>
    </row>
    <row r="30" spans="1:13" ht="16.5" customHeight="1">
      <c r="A30" s="311" t="s">
        <v>104</v>
      </c>
      <c r="B30" s="312"/>
      <c r="C30" s="312"/>
      <c r="D30" s="313"/>
      <c r="E30" s="282">
        <f>G9/G14</f>
        <v>8.102909353209907E-2</v>
      </c>
      <c r="F30" s="283"/>
      <c r="G30" s="283"/>
      <c r="H30" s="284"/>
      <c r="J30" s="249"/>
      <c r="K30" s="250"/>
    </row>
    <row r="31" spans="1:13">
      <c r="A31" s="311" t="s">
        <v>105</v>
      </c>
      <c r="B31" s="312"/>
      <c r="C31" s="312"/>
      <c r="D31" s="313"/>
      <c r="E31" s="282">
        <f>G10/G14</f>
        <v>6.7323875931714364E-2</v>
      </c>
      <c r="F31" s="283"/>
      <c r="G31" s="283"/>
      <c r="H31" s="284"/>
      <c r="J31" s="44"/>
      <c r="K31" s="44"/>
    </row>
    <row r="32" spans="1:13">
      <c r="A32" s="314" t="s">
        <v>113</v>
      </c>
      <c r="B32" s="315"/>
      <c r="C32" s="315"/>
      <c r="D32" s="316"/>
      <c r="E32" s="301">
        <f>G11/G14</f>
        <v>8.5597499398893967E-2</v>
      </c>
      <c r="F32" s="302"/>
      <c r="G32" s="302"/>
      <c r="H32" s="303"/>
      <c r="J32" s="44"/>
      <c r="K32" s="44"/>
    </row>
    <row r="33" spans="1:11">
      <c r="A33" s="317"/>
      <c r="B33" s="318"/>
      <c r="C33" s="318"/>
      <c r="D33" s="319"/>
      <c r="E33" s="304"/>
      <c r="F33" s="305"/>
      <c r="G33" s="305"/>
      <c r="H33" s="306"/>
      <c r="J33" s="44"/>
      <c r="K33" s="44"/>
    </row>
    <row r="34" spans="1:11">
      <c r="A34" s="311" t="s">
        <v>107</v>
      </c>
      <c r="B34" s="312"/>
      <c r="C34" s="312"/>
      <c r="D34" s="313"/>
      <c r="E34" s="282">
        <f>G13/G14</f>
        <v>0.26232267371964413</v>
      </c>
      <c r="F34" s="283"/>
      <c r="G34" s="283"/>
      <c r="H34" s="284"/>
      <c r="J34" s="44"/>
      <c r="K34" s="44"/>
    </row>
    <row r="35" spans="1:11">
      <c r="A35" s="295" t="s">
        <v>118</v>
      </c>
      <c r="B35" s="296"/>
      <c r="C35" s="296"/>
      <c r="D35" s="297"/>
      <c r="E35" s="298">
        <f>SUM(E29:H34)</f>
        <v>1</v>
      </c>
      <c r="F35" s="299"/>
      <c r="G35" s="299"/>
      <c r="H35" s="300"/>
      <c r="J35" s="44"/>
      <c r="K35" s="44"/>
    </row>
    <row r="100" spans="1:8">
      <c r="A100" s="132"/>
      <c r="B100" s="133"/>
      <c r="C100" s="133"/>
      <c r="D100" s="132" t="s">
        <v>103</v>
      </c>
      <c r="E100" s="143">
        <f>E29</f>
        <v>0.50372685741764855</v>
      </c>
      <c r="F100" s="144"/>
      <c r="G100" s="144"/>
      <c r="H100" s="18"/>
    </row>
    <row r="101" spans="1:8">
      <c r="A101" s="132"/>
      <c r="B101" s="133"/>
      <c r="C101" s="133"/>
      <c r="D101" s="132" t="s">
        <v>104</v>
      </c>
      <c r="E101" s="143">
        <f t="shared" ref="E101:E102" si="0">E30</f>
        <v>8.102909353209907E-2</v>
      </c>
      <c r="F101" s="144"/>
      <c r="G101" s="144"/>
      <c r="H101" s="18"/>
    </row>
    <row r="102" spans="1:8">
      <c r="A102" s="132"/>
      <c r="B102" s="133"/>
      <c r="C102" s="133"/>
      <c r="D102" s="132" t="s">
        <v>105</v>
      </c>
      <c r="E102" s="143">
        <f t="shared" si="0"/>
        <v>6.7323875931714364E-2</v>
      </c>
      <c r="F102" s="144"/>
      <c r="G102" s="144"/>
      <c r="H102" s="18"/>
    </row>
    <row r="103" spans="1:8" ht="15" customHeight="1">
      <c r="A103" s="134"/>
      <c r="B103" s="135"/>
      <c r="C103" s="135"/>
      <c r="D103" s="134" t="s">
        <v>113</v>
      </c>
      <c r="E103" s="138">
        <f>E32</f>
        <v>8.5597499398893967E-2</v>
      </c>
      <c r="F103" s="139"/>
      <c r="G103" s="139"/>
      <c r="H103" s="140"/>
    </row>
    <row r="104" spans="1:8">
      <c r="A104" s="136"/>
      <c r="B104" s="137"/>
      <c r="C104" s="137"/>
      <c r="D104" s="132" t="s">
        <v>107</v>
      </c>
      <c r="E104" s="143">
        <f>E34</f>
        <v>0.26232267371964413</v>
      </c>
      <c r="F104" s="141"/>
      <c r="G104" s="141"/>
      <c r="H104" s="142"/>
    </row>
    <row r="105" spans="1:8">
      <c r="A105" s="132"/>
      <c r="B105" s="133"/>
      <c r="C105" s="133"/>
      <c r="D105" s="132"/>
      <c r="E105" s="143"/>
      <c r="F105" s="144"/>
      <c r="G105" s="144"/>
      <c r="H105" s="18"/>
    </row>
  </sheetData>
  <mergeCells count="74">
    <mergeCell ref="A2:K2"/>
    <mergeCell ref="A3:K3"/>
    <mergeCell ref="A5:H5"/>
    <mergeCell ref="G10:H10"/>
    <mergeCell ref="C9:D9"/>
    <mergeCell ref="C10:D10"/>
    <mergeCell ref="A6:B6"/>
    <mergeCell ref="C6:D6"/>
    <mergeCell ref="E6:F6"/>
    <mergeCell ref="G6:H6"/>
    <mergeCell ref="A7:B7"/>
    <mergeCell ref="C7:D7"/>
    <mergeCell ref="E7:F7"/>
    <mergeCell ref="G7:H7"/>
    <mergeCell ref="A8:B8"/>
    <mergeCell ref="C8:D8"/>
    <mergeCell ref="A11:B12"/>
    <mergeCell ref="E10:F10"/>
    <mergeCell ref="E9:F9"/>
    <mergeCell ref="A13:B13"/>
    <mergeCell ref="A14:B14"/>
    <mergeCell ref="C11:D12"/>
    <mergeCell ref="E11:F12"/>
    <mergeCell ref="A10:B10"/>
    <mergeCell ref="A9:B9"/>
    <mergeCell ref="A16:H16"/>
    <mergeCell ref="A18:B18"/>
    <mergeCell ref="C18:E18"/>
    <mergeCell ref="F18:H18"/>
    <mergeCell ref="A22:B23"/>
    <mergeCell ref="C19:E19"/>
    <mergeCell ref="F19:H19"/>
    <mergeCell ref="C21:E21"/>
    <mergeCell ref="F21:H21"/>
    <mergeCell ref="A32:D33"/>
    <mergeCell ref="A19:B19"/>
    <mergeCell ref="A26:H26"/>
    <mergeCell ref="A27:D27"/>
    <mergeCell ref="E27:H27"/>
    <mergeCell ref="A24:B24"/>
    <mergeCell ref="F24:H24"/>
    <mergeCell ref="C24:E24"/>
    <mergeCell ref="G8:H8"/>
    <mergeCell ref="A35:D35"/>
    <mergeCell ref="E35:H35"/>
    <mergeCell ref="E32:H33"/>
    <mergeCell ref="E31:H31"/>
    <mergeCell ref="A20:B20"/>
    <mergeCell ref="E30:H30"/>
    <mergeCell ref="C22:E23"/>
    <mergeCell ref="F22:H23"/>
    <mergeCell ref="A21:B21"/>
    <mergeCell ref="E34:H34"/>
    <mergeCell ref="A28:D28"/>
    <mergeCell ref="A29:D29"/>
    <mergeCell ref="A30:D30"/>
    <mergeCell ref="A31:D31"/>
    <mergeCell ref="A34:D34"/>
    <mergeCell ref="G9:H9"/>
    <mergeCell ref="E28:H28"/>
    <mergeCell ref="E29:H29"/>
    <mergeCell ref="J23:K30"/>
    <mergeCell ref="J5:K5"/>
    <mergeCell ref="C20:E20"/>
    <mergeCell ref="F20:H20"/>
    <mergeCell ref="J22:K22"/>
    <mergeCell ref="G11:H12"/>
    <mergeCell ref="C13:D13"/>
    <mergeCell ref="E13:F13"/>
    <mergeCell ref="G13:H13"/>
    <mergeCell ref="G14:H14"/>
    <mergeCell ref="E14:F14"/>
    <mergeCell ref="C14:D14"/>
    <mergeCell ref="E8:F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A70D9-3EF7-477F-A430-14B5D92BF542}">
  <dimension ref="A1:L42"/>
  <sheetViews>
    <sheetView showGridLines="0" tabSelected="1" topLeftCell="A2" workbookViewId="0">
      <selection activeCell="A14" sqref="A14:B14"/>
    </sheetView>
  </sheetViews>
  <sheetFormatPr defaultRowHeight="15"/>
  <cols>
    <col min="1" max="1" width="13" customWidth="1"/>
    <col min="2" max="2" width="24.140625" customWidth="1"/>
    <col min="5" max="5" width="21.140625" customWidth="1"/>
    <col min="8" max="8" width="20.28515625" customWidth="1"/>
  </cols>
  <sheetData>
    <row r="1" spans="1:12" ht="26.25">
      <c r="A1" s="146" t="s">
        <v>119</v>
      </c>
      <c r="B1" s="146"/>
      <c r="C1" s="146"/>
      <c r="D1" s="146"/>
      <c r="E1" s="146"/>
      <c r="F1" s="146"/>
      <c r="G1" s="146"/>
      <c r="H1" s="146"/>
      <c r="I1" s="146"/>
      <c r="J1" s="146"/>
      <c r="K1" s="146"/>
      <c r="L1" s="1"/>
    </row>
    <row r="2" spans="1:12">
      <c r="A2" s="192" t="s">
        <v>120</v>
      </c>
      <c r="B2" s="192"/>
      <c r="C2" s="192"/>
      <c r="D2" s="192"/>
      <c r="E2" s="192"/>
      <c r="F2" s="192"/>
      <c r="G2" s="192"/>
      <c r="H2" s="192"/>
      <c r="I2" s="192"/>
      <c r="J2" s="192"/>
      <c r="K2" s="192"/>
    </row>
    <row r="3" spans="1:12" ht="21">
      <c r="C3" s="150" t="s">
        <v>30</v>
      </c>
      <c r="D3" s="150"/>
      <c r="E3" s="150" t="s">
        <v>121</v>
      </c>
      <c r="F3" s="150"/>
      <c r="G3" s="150" t="s">
        <v>122</v>
      </c>
      <c r="H3" s="150"/>
      <c r="I3" s="150" t="s">
        <v>123</v>
      </c>
      <c r="J3" s="150"/>
      <c r="K3" s="349" t="s">
        <v>124</v>
      </c>
      <c r="L3" s="202"/>
    </row>
    <row r="4" spans="1:12" ht="21">
      <c r="A4" s="150" t="s">
        <v>125</v>
      </c>
      <c r="B4" s="150"/>
    </row>
    <row r="5" spans="1:12">
      <c r="A5" s="192" t="s">
        <v>126</v>
      </c>
      <c r="B5" s="192"/>
      <c r="C5" s="338">
        <v>0.05</v>
      </c>
      <c r="D5" s="338"/>
      <c r="E5" s="338">
        <v>0.04</v>
      </c>
      <c r="F5" s="340"/>
      <c r="G5" s="338">
        <v>0.04</v>
      </c>
      <c r="H5" s="340"/>
      <c r="I5" s="338">
        <v>0.03</v>
      </c>
      <c r="J5" s="338"/>
      <c r="K5" s="338">
        <v>0.03</v>
      </c>
      <c r="L5" s="264"/>
    </row>
    <row r="6" spans="1:12">
      <c r="A6" s="192" t="s">
        <v>127</v>
      </c>
      <c r="B6" s="192"/>
      <c r="C6" s="338">
        <v>0.05</v>
      </c>
      <c r="D6" s="338"/>
      <c r="E6" s="340">
        <v>0.04</v>
      </c>
      <c r="F6" s="348"/>
      <c r="G6" s="338">
        <v>0.04</v>
      </c>
      <c r="H6" s="340"/>
      <c r="I6" s="338">
        <v>0.03</v>
      </c>
      <c r="J6" s="338"/>
      <c r="K6" s="338">
        <v>0.02</v>
      </c>
      <c r="L6" s="338"/>
    </row>
    <row r="7" spans="1:12">
      <c r="A7" s="192" t="s">
        <v>128</v>
      </c>
      <c r="B7" s="192"/>
      <c r="C7" s="338">
        <v>0.06</v>
      </c>
      <c r="D7" s="338"/>
      <c r="E7" s="340">
        <v>0.05</v>
      </c>
      <c r="F7" s="348"/>
      <c r="G7" s="338">
        <v>0.04</v>
      </c>
      <c r="H7" s="340"/>
      <c r="I7" s="338">
        <v>0.04</v>
      </c>
      <c r="J7" s="338"/>
      <c r="K7" s="338">
        <v>0.03</v>
      </c>
      <c r="L7" s="338"/>
    </row>
    <row r="8" spans="1:12">
      <c r="A8" s="192" t="s">
        <v>129</v>
      </c>
      <c r="B8" s="192"/>
      <c r="C8" s="338">
        <v>0.04</v>
      </c>
      <c r="D8" s="338"/>
      <c r="E8" s="340">
        <v>0.03</v>
      </c>
      <c r="F8" s="348"/>
      <c r="G8" s="338">
        <v>0.03</v>
      </c>
      <c r="H8" s="340"/>
      <c r="I8" s="338">
        <v>0.02</v>
      </c>
      <c r="J8" s="338"/>
      <c r="K8" s="338">
        <v>0.02</v>
      </c>
      <c r="L8" s="338"/>
    </row>
    <row r="9" spans="1:12">
      <c r="A9" s="192" t="s">
        <v>130</v>
      </c>
      <c r="B9" s="192"/>
      <c r="C9" s="338">
        <v>0.08</v>
      </c>
      <c r="D9" s="338"/>
      <c r="E9" s="340">
        <v>7.0000000000000007E-2</v>
      </c>
      <c r="F9" s="348"/>
      <c r="G9" s="338">
        <v>7.0000000000000007E-2</v>
      </c>
      <c r="H9" s="340"/>
      <c r="I9" s="338">
        <v>0.06</v>
      </c>
      <c r="J9" s="338"/>
      <c r="K9" s="338">
        <v>0.05</v>
      </c>
      <c r="L9" s="338"/>
    </row>
    <row r="10" spans="1:12">
      <c r="A10" s="192" t="s">
        <v>131</v>
      </c>
      <c r="B10" s="192"/>
      <c r="C10" s="338">
        <v>0.12</v>
      </c>
      <c r="D10" s="338"/>
      <c r="E10" s="340">
        <v>0.11</v>
      </c>
      <c r="F10" s="348"/>
      <c r="G10" s="338">
        <v>0.1</v>
      </c>
      <c r="H10" s="340"/>
      <c r="I10" s="338">
        <v>0.09</v>
      </c>
      <c r="J10" s="338"/>
      <c r="K10" s="338">
        <v>0.09</v>
      </c>
      <c r="L10" s="338"/>
    </row>
    <row r="12" spans="1:12" ht="21">
      <c r="A12" s="150" t="s">
        <v>132</v>
      </c>
      <c r="B12" s="150"/>
    </row>
    <row r="13" spans="1:12">
      <c r="A13" s="192" t="s">
        <v>59</v>
      </c>
      <c r="B13" s="192"/>
      <c r="C13" s="346">
        <v>0.47</v>
      </c>
      <c r="D13" s="347"/>
      <c r="E13" s="332">
        <v>0.47499999999999998</v>
      </c>
      <c r="F13" s="333"/>
      <c r="G13" s="332">
        <v>0.48</v>
      </c>
      <c r="H13" s="333"/>
      <c r="I13" s="332">
        <v>0.48</v>
      </c>
      <c r="J13" s="333"/>
      <c r="K13" s="332">
        <v>0.48499999999999999</v>
      </c>
      <c r="L13" s="333"/>
    </row>
    <row r="14" spans="1:12">
      <c r="A14" s="192" t="s">
        <v>64</v>
      </c>
      <c r="B14" s="192"/>
      <c r="C14" s="338">
        <v>0.32500000000000001</v>
      </c>
      <c r="D14" s="338"/>
      <c r="E14" s="338">
        <v>0.33</v>
      </c>
      <c r="F14" s="340"/>
      <c r="G14" s="338">
        <v>0.33300000000000002</v>
      </c>
      <c r="H14" s="338"/>
      <c r="I14" s="338">
        <v>0.33700000000000002</v>
      </c>
      <c r="J14" s="338"/>
      <c r="K14" s="338">
        <v>0.34</v>
      </c>
      <c r="L14" s="338"/>
    </row>
    <row r="15" spans="1:12">
      <c r="A15" s="192" t="s">
        <v>133</v>
      </c>
      <c r="B15" s="192"/>
      <c r="C15" s="338">
        <v>0.35499999999999998</v>
      </c>
      <c r="D15" s="264"/>
      <c r="E15" s="338">
        <v>0.36</v>
      </c>
      <c r="F15" s="340"/>
      <c r="G15" s="338">
        <v>0.36499999999999999</v>
      </c>
      <c r="H15" s="338"/>
      <c r="I15" s="338">
        <v>0.36799999999999999</v>
      </c>
      <c r="J15" s="264"/>
      <c r="K15" s="338">
        <v>0.37</v>
      </c>
      <c r="L15" s="264"/>
    </row>
    <row r="16" spans="1:12">
      <c r="A16" s="192" t="s">
        <v>69</v>
      </c>
      <c r="B16" s="192"/>
      <c r="C16" s="338">
        <v>0.27200000000000002</v>
      </c>
      <c r="D16" s="264"/>
      <c r="E16" s="338">
        <v>0.27600000000000002</v>
      </c>
      <c r="F16" s="339"/>
      <c r="G16" s="338">
        <v>0.28000000000000003</v>
      </c>
      <c r="H16" s="264"/>
      <c r="I16" s="338">
        <v>0.28299999999999997</v>
      </c>
      <c r="J16" s="264"/>
      <c r="K16" s="338">
        <v>0.28499999999999998</v>
      </c>
      <c r="L16" s="264"/>
    </row>
    <row r="18" spans="1:12" ht="21">
      <c r="A18" s="150" t="s">
        <v>134</v>
      </c>
      <c r="B18" s="150"/>
    </row>
    <row r="19" spans="1:12">
      <c r="A19" s="192" t="s">
        <v>135</v>
      </c>
      <c r="B19" s="192"/>
      <c r="C19" s="342">
        <v>0.16</v>
      </c>
      <c r="D19" s="264"/>
      <c r="E19" s="351"/>
      <c r="F19" s="192"/>
      <c r="G19" s="351"/>
      <c r="H19" s="192"/>
      <c r="I19" s="192"/>
      <c r="J19" s="192"/>
      <c r="K19" s="192"/>
      <c r="L19" s="192"/>
    </row>
    <row r="20" spans="1:12">
      <c r="A20" s="192" t="s">
        <v>136</v>
      </c>
      <c r="B20" s="192"/>
      <c r="C20" s="350">
        <v>0.03</v>
      </c>
      <c r="D20" s="350"/>
      <c r="E20" s="351"/>
      <c r="F20" s="192"/>
      <c r="G20" s="351"/>
      <c r="H20" s="192"/>
      <c r="I20" s="192"/>
      <c r="J20" s="192"/>
      <c r="K20" s="192"/>
      <c r="L20" s="192"/>
    </row>
    <row r="21" spans="1:12">
      <c r="A21" s="337" t="s">
        <v>137</v>
      </c>
      <c r="B21" s="192"/>
      <c r="C21" s="352">
        <v>0.03</v>
      </c>
      <c r="D21" s="352"/>
      <c r="E21" s="351"/>
      <c r="F21" s="192"/>
      <c r="G21" s="351"/>
      <c r="H21" s="192"/>
      <c r="I21" s="192"/>
      <c r="J21" s="192"/>
      <c r="K21" s="192"/>
      <c r="L21" s="192"/>
    </row>
    <row r="22" spans="1:12">
      <c r="A22" s="192"/>
      <c r="B22" s="192"/>
      <c r="C22" s="352"/>
      <c r="D22" s="352"/>
      <c r="E22" s="351"/>
      <c r="F22" s="192"/>
      <c r="G22" s="351"/>
      <c r="H22" s="192"/>
      <c r="I22" s="192"/>
      <c r="J22" s="192"/>
      <c r="K22" s="192"/>
      <c r="L22" s="192"/>
    </row>
    <row r="23" spans="1:12">
      <c r="A23" s="192" t="s">
        <v>138</v>
      </c>
      <c r="B23" s="192"/>
      <c r="C23" s="342">
        <v>-0.03</v>
      </c>
      <c r="D23" s="342"/>
      <c r="E23" s="351"/>
      <c r="F23" s="192"/>
      <c r="G23" s="351"/>
      <c r="H23" s="192"/>
      <c r="I23" s="192"/>
      <c r="J23" s="192"/>
      <c r="K23" s="192"/>
      <c r="L23" s="192"/>
    </row>
    <row r="24" spans="1:12">
      <c r="E24" s="351"/>
      <c r="F24" s="192"/>
      <c r="I24" s="192"/>
      <c r="J24" s="192"/>
      <c r="K24" s="192"/>
      <c r="L24" s="192"/>
    </row>
    <row r="25" spans="1:12" ht="21">
      <c r="A25" s="150" t="s">
        <v>139</v>
      </c>
      <c r="B25" s="150"/>
    </row>
    <row r="26" spans="1:12">
      <c r="A26" s="192" t="s">
        <v>140</v>
      </c>
      <c r="B26" s="192"/>
      <c r="C26" s="338">
        <v>4.2999999999999997E-2</v>
      </c>
      <c r="D26" s="264"/>
    </row>
    <row r="27" spans="1:12">
      <c r="A27" s="192" t="s">
        <v>141</v>
      </c>
      <c r="B27" s="192"/>
      <c r="C27" s="338">
        <v>5.5E-2</v>
      </c>
      <c r="D27" s="264"/>
    </row>
    <row r="28" spans="1:12">
      <c r="A28" s="192" t="s">
        <v>142</v>
      </c>
      <c r="B28" s="192"/>
      <c r="C28" s="264">
        <v>1.2</v>
      </c>
      <c r="D28" s="264"/>
    </row>
    <row r="29" spans="1:12">
      <c r="A29" s="336" t="s">
        <v>143</v>
      </c>
      <c r="B29" s="192"/>
      <c r="C29" s="343">
        <v>0.108</v>
      </c>
      <c r="D29" s="262"/>
    </row>
    <row r="30" spans="1:12">
      <c r="A30" s="192" t="s">
        <v>144</v>
      </c>
      <c r="B30" s="192"/>
      <c r="C30" s="338">
        <v>3.7999999999999999E-2</v>
      </c>
      <c r="D30" s="264"/>
    </row>
    <row r="31" spans="1:12">
      <c r="A31" s="192" t="s">
        <v>145</v>
      </c>
      <c r="B31" s="192"/>
      <c r="C31" s="342">
        <v>0.16</v>
      </c>
      <c r="D31" s="264"/>
    </row>
    <row r="32" spans="1:12">
      <c r="A32" s="336" t="s">
        <v>146</v>
      </c>
      <c r="B32" s="192"/>
      <c r="C32" s="343">
        <v>0.08</v>
      </c>
      <c r="D32" s="262"/>
    </row>
    <row r="33" spans="1:8">
      <c r="A33" s="192" t="s">
        <v>147</v>
      </c>
      <c r="B33" s="192"/>
      <c r="C33" s="342">
        <v>0.03</v>
      </c>
      <c r="D33" s="264"/>
    </row>
    <row r="35" spans="1:8" ht="6.75" customHeight="1"/>
    <row r="36" spans="1:8" ht="22.5" customHeight="1">
      <c r="A36" s="341" t="s">
        <v>148</v>
      </c>
      <c r="B36" s="341"/>
    </row>
    <row r="37" spans="1:8" ht="18" customHeight="1">
      <c r="A37" s="341"/>
      <c r="B37" s="341"/>
    </row>
    <row r="38" spans="1:8" ht="4.5" customHeight="1"/>
    <row r="39" spans="1:8" ht="18.75">
      <c r="A39" s="334" t="s">
        <v>149</v>
      </c>
      <c r="B39" s="334"/>
      <c r="C39" s="335" t="s">
        <v>150</v>
      </c>
      <c r="D39" s="335"/>
      <c r="E39" s="335"/>
      <c r="F39" s="335" t="s">
        <v>151</v>
      </c>
      <c r="G39" s="335"/>
      <c r="H39" s="335"/>
    </row>
    <row r="40" spans="1:8">
      <c r="A40" s="247" t="s">
        <v>152</v>
      </c>
      <c r="B40" s="218"/>
      <c r="C40" s="344">
        <v>7.0000000000000007E-2</v>
      </c>
      <c r="D40" s="345"/>
      <c r="E40" s="345"/>
      <c r="F40" s="288">
        <v>0.34</v>
      </c>
      <c r="G40" s="261"/>
      <c r="H40" s="261"/>
    </row>
    <row r="41" spans="1:8">
      <c r="A41" s="225" t="s">
        <v>153</v>
      </c>
      <c r="B41" s="226"/>
      <c r="C41" s="288">
        <v>0.05</v>
      </c>
      <c r="D41" s="261"/>
      <c r="E41" s="261"/>
      <c r="F41" s="289">
        <v>0.32</v>
      </c>
      <c r="G41" s="261"/>
      <c r="H41" s="261"/>
    </row>
    <row r="42" spans="1:8">
      <c r="A42" s="225" t="s">
        <v>154</v>
      </c>
      <c r="B42" s="226"/>
      <c r="C42" s="288">
        <v>0.03</v>
      </c>
      <c r="D42" s="261"/>
      <c r="E42" s="261"/>
      <c r="F42" s="289">
        <v>0.3</v>
      </c>
      <c r="G42" s="261"/>
      <c r="H42" s="261"/>
    </row>
  </sheetData>
  <mergeCells count="131">
    <mergeCell ref="C26:D26"/>
    <mergeCell ref="C27:D27"/>
    <mergeCell ref="C28:D28"/>
    <mergeCell ref="C29:D29"/>
    <mergeCell ref="C30:D30"/>
    <mergeCell ref="E24:F24"/>
    <mergeCell ref="G19:H19"/>
    <mergeCell ref="G20:H20"/>
    <mergeCell ref="G21:H21"/>
    <mergeCell ref="G22:H22"/>
    <mergeCell ref="G23:H23"/>
    <mergeCell ref="I22:J22"/>
    <mergeCell ref="I21:J21"/>
    <mergeCell ref="C23:D23"/>
    <mergeCell ref="I19:J19"/>
    <mergeCell ref="K19:L19"/>
    <mergeCell ref="K20:L20"/>
    <mergeCell ref="K21:L21"/>
    <mergeCell ref="K22:L22"/>
    <mergeCell ref="K23:L23"/>
    <mergeCell ref="I20:J20"/>
    <mergeCell ref="E19:F19"/>
    <mergeCell ref="E20:F20"/>
    <mergeCell ref="E21:F21"/>
    <mergeCell ref="E22:F22"/>
    <mergeCell ref="E23:F23"/>
    <mergeCell ref="C21:D22"/>
    <mergeCell ref="I16:J16"/>
    <mergeCell ref="K16:L16"/>
    <mergeCell ref="C19:D19"/>
    <mergeCell ref="C20:D20"/>
    <mergeCell ref="G14:H14"/>
    <mergeCell ref="I14:J14"/>
    <mergeCell ref="K14:L14"/>
    <mergeCell ref="E15:F15"/>
    <mergeCell ref="G15:H15"/>
    <mergeCell ref="I15:J15"/>
    <mergeCell ref="K15:L15"/>
    <mergeCell ref="A1:K1"/>
    <mergeCell ref="A2:K2"/>
    <mergeCell ref="A4:B4"/>
    <mergeCell ref="C3:D3"/>
    <mergeCell ref="E3:F3"/>
    <mergeCell ref="G3:H3"/>
    <mergeCell ref="I3:J3"/>
    <mergeCell ref="K3:L3"/>
    <mergeCell ref="C8:D8"/>
    <mergeCell ref="A5:B5"/>
    <mergeCell ref="A6:B6"/>
    <mergeCell ref="A7:B7"/>
    <mergeCell ref="A8:B8"/>
    <mergeCell ref="E6:F6"/>
    <mergeCell ref="E5:F5"/>
    <mergeCell ref="C5:D5"/>
    <mergeCell ref="C6:D6"/>
    <mergeCell ref="C7:D7"/>
    <mergeCell ref="G8:H8"/>
    <mergeCell ref="E8:F8"/>
    <mergeCell ref="I6:J6"/>
    <mergeCell ref="I5:J5"/>
    <mergeCell ref="G5:H5"/>
    <mergeCell ref="G6:H6"/>
    <mergeCell ref="I9:J9"/>
    <mergeCell ref="I8:J8"/>
    <mergeCell ref="I7:J7"/>
    <mergeCell ref="K5:L5"/>
    <mergeCell ref="K6:L6"/>
    <mergeCell ref="K7:L7"/>
    <mergeCell ref="K8:L8"/>
    <mergeCell ref="K9:L9"/>
    <mergeCell ref="A12:B12"/>
    <mergeCell ref="A9:B9"/>
    <mergeCell ref="A10:B10"/>
    <mergeCell ref="E7:F7"/>
    <mergeCell ref="G9:H9"/>
    <mergeCell ref="G10:H10"/>
    <mergeCell ref="E10:F10"/>
    <mergeCell ref="E9:F9"/>
    <mergeCell ref="C9:D9"/>
    <mergeCell ref="C10:D10"/>
    <mergeCell ref="G7:H7"/>
    <mergeCell ref="K10:L10"/>
    <mergeCell ref="I10:J10"/>
    <mergeCell ref="A13:B13"/>
    <mergeCell ref="A14:B14"/>
    <mergeCell ref="A15:B15"/>
    <mergeCell ref="A16:B16"/>
    <mergeCell ref="A18:B18"/>
    <mergeCell ref="F42:H42"/>
    <mergeCell ref="F41:H41"/>
    <mergeCell ref="F40:H40"/>
    <mergeCell ref="A31:B31"/>
    <mergeCell ref="A32:B32"/>
    <mergeCell ref="A33:B33"/>
    <mergeCell ref="A36:B37"/>
    <mergeCell ref="C31:D31"/>
    <mergeCell ref="C32:D32"/>
    <mergeCell ref="C33:D33"/>
    <mergeCell ref="A40:B40"/>
    <mergeCell ref="A41:B41"/>
    <mergeCell ref="A42:B42"/>
    <mergeCell ref="C40:E40"/>
    <mergeCell ref="C41:E41"/>
    <mergeCell ref="C42:E42"/>
    <mergeCell ref="G13:H13"/>
    <mergeCell ref="C13:D13"/>
    <mergeCell ref="G16:H16"/>
    <mergeCell ref="I13:J13"/>
    <mergeCell ref="K13:L13"/>
    <mergeCell ref="E13:F13"/>
    <mergeCell ref="A39:B39"/>
    <mergeCell ref="C39:E39"/>
    <mergeCell ref="F39:H39"/>
    <mergeCell ref="A25:B25"/>
    <mergeCell ref="A26:B26"/>
    <mergeCell ref="A27:B27"/>
    <mergeCell ref="A28:B28"/>
    <mergeCell ref="A29:B29"/>
    <mergeCell ref="A30:B30"/>
    <mergeCell ref="A19:B19"/>
    <mergeCell ref="A20:B20"/>
    <mergeCell ref="A21:B22"/>
    <mergeCell ref="A23:B23"/>
    <mergeCell ref="C14:D14"/>
    <mergeCell ref="C15:D15"/>
    <mergeCell ref="C16:D16"/>
    <mergeCell ref="E16:F16"/>
    <mergeCell ref="E14:F14"/>
    <mergeCell ref="K24:L24"/>
    <mergeCell ref="I24:J24"/>
    <mergeCell ref="I23:J2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83EF3-870E-4BE0-8D61-73BEB0567497}">
  <dimension ref="A1:N28"/>
  <sheetViews>
    <sheetView showGridLines="0" topLeftCell="A7" workbookViewId="0">
      <selection activeCell="A18" sqref="A18:B18"/>
    </sheetView>
  </sheetViews>
  <sheetFormatPr defaultRowHeight="15"/>
  <cols>
    <col min="1" max="1" width="11.28515625" customWidth="1"/>
    <col min="2" max="2" width="23.28515625" customWidth="1"/>
  </cols>
  <sheetData>
    <row r="1" spans="1:14" ht="26.25">
      <c r="A1" s="146" t="s">
        <v>155</v>
      </c>
      <c r="B1" s="146"/>
      <c r="C1" s="146"/>
      <c r="D1" s="146"/>
      <c r="E1" s="146"/>
      <c r="F1" s="146"/>
      <c r="G1" s="146"/>
      <c r="H1" s="146"/>
      <c r="I1" s="146"/>
      <c r="J1" s="146"/>
      <c r="K1" s="146"/>
      <c r="L1" s="1"/>
      <c r="M1" s="1"/>
      <c r="N1" s="1"/>
    </row>
    <row r="2" spans="1:14">
      <c r="A2" s="353" t="s">
        <v>156</v>
      </c>
      <c r="B2" s="192"/>
      <c r="C2" s="192"/>
      <c r="D2" s="192"/>
      <c r="E2" s="192"/>
      <c r="F2" s="192"/>
      <c r="G2" s="192"/>
      <c r="H2" s="192"/>
      <c r="I2" s="192"/>
      <c r="J2" s="192"/>
      <c r="K2" s="192"/>
    </row>
    <row r="3" spans="1:14" ht="6.75" customHeight="1"/>
    <row r="4" spans="1:14" ht="18.75">
      <c r="C4" s="354" t="s">
        <v>55</v>
      </c>
      <c r="D4" s="202"/>
      <c r="E4" s="270" t="s">
        <v>30</v>
      </c>
      <c r="F4" s="178"/>
      <c r="G4" s="354" t="s">
        <v>121</v>
      </c>
      <c r="H4" s="202"/>
      <c r="I4" s="270" t="s">
        <v>122</v>
      </c>
      <c r="J4" s="279"/>
      <c r="K4" s="270" t="s">
        <v>123</v>
      </c>
      <c r="L4" s="178"/>
      <c r="M4" s="335" t="s">
        <v>124</v>
      </c>
      <c r="N4" s="335"/>
    </row>
    <row r="5" spans="1:14" ht="18.75">
      <c r="A5" s="335" t="s">
        <v>157</v>
      </c>
      <c r="B5" s="335"/>
    </row>
    <row r="6" spans="1:14">
      <c r="A6" s="321" t="s">
        <v>158</v>
      </c>
      <c r="B6" s="261"/>
      <c r="C6" s="355">
        <v>416.1</v>
      </c>
      <c r="D6" s="355"/>
      <c r="E6" s="273">
        <f>C6*(1+E7)</f>
        <v>436.90500000000003</v>
      </c>
      <c r="F6" s="273"/>
      <c r="G6" s="273">
        <f>E6*(1+G7)</f>
        <v>454.38120000000004</v>
      </c>
      <c r="H6" s="273"/>
      <c r="I6" s="273">
        <f>G6*(1+I7)</f>
        <v>472.55644800000005</v>
      </c>
      <c r="J6" s="273"/>
      <c r="K6" s="273">
        <f>I6*(1+K7)</f>
        <v>486.73314144000005</v>
      </c>
      <c r="L6" s="273"/>
      <c r="M6" s="273">
        <f>K6*(1+M7)</f>
        <v>501.33513568320006</v>
      </c>
      <c r="N6" s="273"/>
    </row>
    <row r="7" spans="1:14">
      <c r="A7" s="261" t="s">
        <v>159</v>
      </c>
      <c r="B7" s="261"/>
      <c r="C7" s="288">
        <v>0.06</v>
      </c>
      <c r="D7" s="261"/>
      <c r="E7" s="288">
        <v>0.05</v>
      </c>
      <c r="F7" s="261"/>
      <c r="G7" s="288">
        <v>0.04</v>
      </c>
      <c r="H7" s="261"/>
      <c r="I7" s="288">
        <v>0.04</v>
      </c>
      <c r="J7" s="261"/>
      <c r="K7" s="288">
        <v>0.03</v>
      </c>
      <c r="L7" s="261"/>
      <c r="M7" s="288">
        <v>0.03</v>
      </c>
      <c r="N7" s="261"/>
    </row>
    <row r="8" spans="1:14">
      <c r="D8" s="19"/>
    </row>
    <row r="9" spans="1:14" ht="18.75">
      <c r="A9" s="335" t="s">
        <v>160</v>
      </c>
      <c r="B9" s="335"/>
    </row>
    <row r="10" spans="1:14">
      <c r="A10" s="192" t="s">
        <v>58</v>
      </c>
      <c r="B10" s="192"/>
      <c r="C10" s="261">
        <v>195.2</v>
      </c>
      <c r="D10" s="261"/>
      <c r="E10" s="261">
        <v>205.3</v>
      </c>
      <c r="F10" s="261"/>
      <c r="G10" s="261">
        <v>215.8</v>
      </c>
      <c r="H10" s="261"/>
      <c r="I10" s="261">
        <v>226.8</v>
      </c>
      <c r="J10" s="261"/>
      <c r="K10" s="261">
        <v>233.6</v>
      </c>
      <c r="L10" s="261"/>
      <c r="M10" s="261">
        <v>243.1</v>
      </c>
      <c r="N10" s="261"/>
    </row>
    <row r="11" spans="1:14">
      <c r="A11" s="261" t="s">
        <v>161</v>
      </c>
      <c r="B11" s="261"/>
      <c r="C11" s="226">
        <v>133.1</v>
      </c>
      <c r="D11" s="261"/>
      <c r="E11" s="261">
        <v>142</v>
      </c>
      <c r="F11" s="261"/>
      <c r="G11" s="261">
        <v>149.9</v>
      </c>
      <c r="H11" s="261"/>
      <c r="I11" s="261">
        <v>157.30000000000001</v>
      </c>
      <c r="J11" s="261"/>
      <c r="K11" s="261">
        <v>164</v>
      </c>
      <c r="L11" s="261"/>
      <c r="M11" s="261">
        <v>170.4</v>
      </c>
      <c r="N11" s="261"/>
    </row>
    <row r="12" spans="1:14">
      <c r="A12" s="261" t="s">
        <v>162</v>
      </c>
      <c r="B12" s="261"/>
      <c r="C12" s="226">
        <v>144.69999999999999</v>
      </c>
      <c r="D12" s="261"/>
      <c r="E12" s="261">
        <v>155.1</v>
      </c>
      <c r="F12" s="261"/>
      <c r="G12" s="261">
        <v>163.6</v>
      </c>
      <c r="H12" s="261"/>
      <c r="I12" s="261">
        <v>172.5</v>
      </c>
      <c r="J12" s="261"/>
      <c r="K12" s="261">
        <v>179.1</v>
      </c>
      <c r="L12" s="261"/>
      <c r="M12" s="261">
        <v>185.5</v>
      </c>
      <c r="N12" s="261"/>
    </row>
    <row r="13" spans="1:14">
      <c r="A13" s="261" t="s">
        <v>163</v>
      </c>
      <c r="B13" s="261"/>
      <c r="C13" s="226">
        <v>112.1</v>
      </c>
      <c r="D13" s="261"/>
      <c r="E13" s="261">
        <v>118.8</v>
      </c>
      <c r="F13" s="261"/>
      <c r="G13" s="261">
        <v>125.4</v>
      </c>
      <c r="H13" s="261"/>
      <c r="I13" s="261">
        <v>132.30000000000001</v>
      </c>
      <c r="J13" s="261"/>
      <c r="K13" s="261">
        <v>137.69999999999999</v>
      </c>
      <c r="L13" s="261"/>
      <c r="M13" s="261">
        <v>142.9</v>
      </c>
      <c r="N13" s="261"/>
    </row>
    <row r="14" spans="1:14">
      <c r="A14" s="261" t="s">
        <v>164</v>
      </c>
      <c r="B14" s="261"/>
      <c r="C14" s="226">
        <v>15</v>
      </c>
      <c r="D14" s="261"/>
      <c r="E14" s="261">
        <v>14.8</v>
      </c>
      <c r="F14" s="261"/>
      <c r="G14" s="261">
        <v>14.6</v>
      </c>
      <c r="H14" s="261"/>
      <c r="I14" s="261">
        <v>14.4</v>
      </c>
      <c r="J14" s="261"/>
      <c r="K14" s="261">
        <v>14.2</v>
      </c>
      <c r="L14" s="261"/>
      <c r="M14" s="261">
        <v>14</v>
      </c>
      <c r="N14" s="261"/>
    </row>
    <row r="15" spans="1:14">
      <c r="A15" s="325" t="s">
        <v>165</v>
      </c>
      <c r="B15" s="326"/>
      <c r="C15" s="357">
        <v>7.47</v>
      </c>
      <c r="D15" s="357"/>
      <c r="E15" s="356">
        <f>E13/E14</f>
        <v>8.0270270270270263</v>
      </c>
      <c r="F15" s="356"/>
      <c r="G15" s="356">
        <f t="shared" ref="G15" si="0">G13/G14</f>
        <v>8.589041095890412</v>
      </c>
      <c r="H15" s="356"/>
      <c r="I15" s="356">
        <f t="shared" ref="I15" si="1">I13/I14</f>
        <v>9.1875</v>
      </c>
      <c r="J15" s="356"/>
      <c r="K15" s="356">
        <f t="shared" ref="K15" si="2">K13/K14</f>
        <v>9.6971830985915481</v>
      </c>
      <c r="L15" s="356"/>
      <c r="M15" s="356">
        <f t="shared" ref="M15" si="3">M13/M14</f>
        <v>10.207142857142857</v>
      </c>
      <c r="N15" s="356"/>
    </row>
    <row r="17" spans="1:14" ht="18.75">
      <c r="A17" s="335" t="s">
        <v>166</v>
      </c>
      <c r="B17" s="335"/>
    </row>
    <row r="18" spans="1:14">
      <c r="A18" s="192" t="s">
        <v>167</v>
      </c>
      <c r="B18" s="192"/>
      <c r="C18" s="261">
        <v>11.5</v>
      </c>
      <c r="D18" s="261"/>
      <c r="E18" s="261">
        <v>13.1</v>
      </c>
      <c r="F18" s="261"/>
      <c r="G18" s="261">
        <v>13.6</v>
      </c>
      <c r="H18" s="261"/>
      <c r="I18" s="261">
        <v>14.1</v>
      </c>
      <c r="J18" s="261"/>
      <c r="K18" s="261">
        <v>14.6</v>
      </c>
      <c r="L18" s="261"/>
      <c r="M18" s="261">
        <v>15</v>
      </c>
      <c r="N18" s="261"/>
    </row>
    <row r="19" spans="1:14">
      <c r="A19" s="345" t="s">
        <v>168</v>
      </c>
      <c r="B19" s="345"/>
      <c r="C19" s="226">
        <v>-12.7</v>
      </c>
      <c r="D19" s="261"/>
      <c r="E19" s="261">
        <v>-13.1</v>
      </c>
      <c r="F19" s="261"/>
      <c r="G19" s="261">
        <v>-13.6</v>
      </c>
      <c r="H19" s="261"/>
      <c r="I19" s="261">
        <v>-14.1</v>
      </c>
      <c r="J19" s="261"/>
      <c r="K19" s="261">
        <v>-14.6</v>
      </c>
      <c r="L19" s="261"/>
      <c r="M19" s="261">
        <v>-15</v>
      </c>
      <c r="N19" s="261"/>
    </row>
    <row r="20" spans="1:14">
      <c r="A20" s="261" t="s">
        <v>90</v>
      </c>
      <c r="B20" s="261"/>
      <c r="C20" s="226">
        <v>24.7</v>
      </c>
      <c r="D20" s="261"/>
      <c r="E20" s="261">
        <v>-13.1</v>
      </c>
      <c r="F20" s="261"/>
      <c r="G20" s="261">
        <v>-13.6</v>
      </c>
      <c r="H20" s="261"/>
      <c r="I20" s="261">
        <v>-14.1</v>
      </c>
      <c r="J20" s="261"/>
      <c r="K20" s="261">
        <v>-14.6</v>
      </c>
      <c r="L20" s="261"/>
      <c r="M20" s="261">
        <v>-15</v>
      </c>
      <c r="N20" s="261"/>
    </row>
    <row r="21" spans="1:14">
      <c r="A21" s="263" t="s">
        <v>169</v>
      </c>
      <c r="B21" s="264"/>
      <c r="C21" s="372">
        <v>98.7</v>
      </c>
      <c r="D21" s="262"/>
      <c r="E21" s="262">
        <f>E13-E20</f>
        <v>131.9</v>
      </c>
      <c r="F21" s="262"/>
      <c r="G21" s="262">
        <f>G13-G20</f>
        <v>139</v>
      </c>
      <c r="H21" s="262"/>
      <c r="I21" s="262">
        <f>I13-I20</f>
        <v>146.4</v>
      </c>
      <c r="J21" s="262"/>
      <c r="K21" s="262">
        <f>K13-K20</f>
        <v>152.29999999999998</v>
      </c>
      <c r="L21" s="262"/>
      <c r="M21" s="262">
        <f>M13-M20</f>
        <v>157.9</v>
      </c>
      <c r="N21" s="262"/>
    </row>
    <row r="23" spans="1:14" ht="18.75">
      <c r="A23" s="363" t="s">
        <v>170</v>
      </c>
      <c r="B23" s="364"/>
      <c r="C23" s="364"/>
      <c r="D23" s="364"/>
      <c r="E23" s="364"/>
      <c r="F23" s="365"/>
      <c r="H23" s="335" t="s">
        <v>171</v>
      </c>
      <c r="I23" s="335"/>
      <c r="J23" s="335"/>
      <c r="K23" s="335"/>
      <c r="L23" s="335"/>
      <c r="M23" s="335"/>
      <c r="N23" s="335"/>
    </row>
    <row r="24" spans="1:14">
      <c r="A24" s="358" t="s">
        <v>172</v>
      </c>
      <c r="B24" s="241"/>
      <c r="C24" s="241"/>
      <c r="D24" s="241"/>
      <c r="E24" s="241"/>
      <c r="F24" s="359"/>
      <c r="H24" s="169" t="s">
        <v>173</v>
      </c>
      <c r="I24" s="366"/>
      <c r="J24" s="366"/>
      <c r="K24" s="366"/>
      <c r="L24" s="366"/>
      <c r="M24" s="366"/>
      <c r="N24" s="367"/>
    </row>
    <row r="25" spans="1:14">
      <c r="A25" s="358"/>
      <c r="B25" s="241"/>
      <c r="C25" s="241"/>
      <c r="D25" s="241"/>
      <c r="E25" s="241"/>
      <c r="F25" s="359"/>
      <c r="H25" s="368"/>
      <c r="I25" s="366"/>
      <c r="J25" s="366"/>
      <c r="K25" s="366"/>
      <c r="L25" s="366"/>
      <c r="M25" s="366"/>
      <c r="N25" s="367"/>
    </row>
    <row r="26" spans="1:14">
      <c r="A26" s="358"/>
      <c r="B26" s="241"/>
      <c r="C26" s="241"/>
      <c r="D26" s="241"/>
      <c r="E26" s="241"/>
      <c r="F26" s="359"/>
      <c r="H26" s="368"/>
      <c r="I26" s="366"/>
      <c r="J26" s="366"/>
      <c r="K26" s="366"/>
      <c r="L26" s="366"/>
      <c r="M26" s="366"/>
      <c r="N26" s="367"/>
    </row>
    <row r="27" spans="1:14">
      <c r="A27" s="358"/>
      <c r="B27" s="241"/>
      <c r="C27" s="241"/>
      <c r="D27" s="241"/>
      <c r="E27" s="241"/>
      <c r="F27" s="359"/>
      <c r="H27" s="368"/>
      <c r="I27" s="366"/>
      <c r="J27" s="366"/>
      <c r="K27" s="366"/>
      <c r="L27" s="366"/>
      <c r="M27" s="366"/>
      <c r="N27" s="367"/>
    </row>
    <row r="28" spans="1:14">
      <c r="A28" s="360"/>
      <c r="B28" s="361"/>
      <c r="C28" s="361"/>
      <c r="D28" s="361"/>
      <c r="E28" s="361"/>
      <c r="F28" s="362"/>
      <c r="H28" s="369"/>
      <c r="I28" s="370"/>
      <c r="J28" s="370"/>
      <c r="K28" s="370"/>
      <c r="L28" s="370"/>
      <c r="M28" s="370"/>
      <c r="N28" s="371"/>
    </row>
  </sheetData>
  <mergeCells count="99">
    <mergeCell ref="A24:F28"/>
    <mergeCell ref="H23:N23"/>
    <mergeCell ref="E21:F21"/>
    <mergeCell ref="G21:H21"/>
    <mergeCell ref="I21:J21"/>
    <mergeCell ref="K21:L21"/>
    <mergeCell ref="M21:N21"/>
    <mergeCell ref="A23:F23"/>
    <mergeCell ref="H24:N28"/>
    <mergeCell ref="C21:D21"/>
    <mergeCell ref="A19:B19"/>
    <mergeCell ref="A20:B20"/>
    <mergeCell ref="A21:B21"/>
    <mergeCell ref="M18:N18"/>
    <mergeCell ref="M19:N19"/>
    <mergeCell ref="C20:D20"/>
    <mergeCell ref="E20:F20"/>
    <mergeCell ref="G20:H20"/>
    <mergeCell ref="I20:J20"/>
    <mergeCell ref="K19:L19"/>
    <mergeCell ref="M20:N20"/>
    <mergeCell ref="C19:D19"/>
    <mergeCell ref="E19:F19"/>
    <mergeCell ref="G19:H19"/>
    <mergeCell ref="I19:J19"/>
    <mergeCell ref="K20:L20"/>
    <mergeCell ref="E18:F18"/>
    <mergeCell ref="G18:H18"/>
    <mergeCell ref="I18:J18"/>
    <mergeCell ref="K18:L18"/>
    <mergeCell ref="A17:B17"/>
    <mergeCell ref="A18:B18"/>
    <mergeCell ref="C18:D18"/>
    <mergeCell ref="M15:N15"/>
    <mergeCell ref="M14:N14"/>
    <mergeCell ref="A15:B15"/>
    <mergeCell ref="C14:D14"/>
    <mergeCell ref="C15:D15"/>
    <mergeCell ref="E15:F15"/>
    <mergeCell ref="E14:F14"/>
    <mergeCell ref="G14:H14"/>
    <mergeCell ref="G15:H15"/>
    <mergeCell ref="A14:B14"/>
    <mergeCell ref="I15:J15"/>
    <mergeCell ref="I14:J14"/>
    <mergeCell ref="K14:L14"/>
    <mergeCell ref="K15:L15"/>
    <mergeCell ref="M13:N13"/>
    <mergeCell ref="M12:N12"/>
    <mergeCell ref="M11:N11"/>
    <mergeCell ref="M10:N10"/>
    <mergeCell ref="A12:B12"/>
    <mergeCell ref="I13:J13"/>
    <mergeCell ref="I12:J12"/>
    <mergeCell ref="I11:J11"/>
    <mergeCell ref="I10:J10"/>
    <mergeCell ref="K10:L10"/>
    <mergeCell ref="K11:L11"/>
    <mergeCell ref="K12:L12"/>
    <mergeCell ref="K13:L13"/>
    <mergeCell ref="E13:F13"/>
    <mergeCell ref="E12:F12"/>
    <mergeCell ref="E11:F11"/>
    <mergeCell ref="E10:F10"/>
    <mergeCell ref="G10:H10"/>
    <mergeCell ref="G11:H11"/>
    <mergeCell ref="G12:H12"/>
    <mergeCell ref="G13:H13"/>
    <mergeCell ref="A9:B9"/>
    <mergeCell ref="A10:B10"/>
    <mergeCell ref="A11:B11"/>
    <mergeCell ref="A13:B13"/>
    <mergeCell ref="C10:D10"/>
    <mergeCell ref="C11:D11"/>
    <mergeCell ref="C12:D12"/>
    <mergeCell ref="C13:D13"/>
    <mergeCell ref="E6:F6"/>
    <mergeCell ref="A5:B5"/>
    <mergeCell ref="A6:B6"/>
    <mergeCell ref="A7:B7"/>
    <mergeCell ref="M4:N4"/>
    <mergeCell ref="C6:D6"/>
    <mergeCell ref="C7:D7"/>
    <mergeCell ref="E7:F7"/>
    <mergeCell ref="G7:H7"/>
    <mergeCell ref="I7:J7"/>
    <mergeCell ref="K7:L7"/>
    <mergeCell ref="M7:N7"/>
    <mergeCell ref="M6:N6"/>
    <mergeCell ref="K6:L6"/>
    <mergeCell ref="I6:J6"/>
    <mergeCell ref="G6:H6"/>
    <mergeCell ref="A1:K1"/>
    <mergeCell ref="A2:K2"/>
    <mergeCell ref="C4:D4"/>
    <mergeCell ref="E4:F4"/>
    <mergeCell ref="G4:H4"/>
    <mergeCell ref="I4:J4"/>
    <mergeCell ref="K4:L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BAD-D0C8-4690-B71A-0CF227D64869}">
  <dimension ref="A1:M101"/>
  <sheetViews>
    <sheetView showGridLines="0" workbookViewId="0">
      <selection activeCell="M28" sqref="M28"/>
    </sheetView>
  </sheetViews>
  <sheetFormatPr defaultRowHeight="15"/>
  <cols>
    <col min="1" max="1" width="10.85546875" customWidth="1"/>
    <col min="2" max="2" width="28.5703125" customWidth="1"/>
    <col min="3" max="3" width="10.5703125" customWidth="1"/>
    <col min="4" max="4" width="12.7109375" customWidth="1"/>
    <col min="5" max="5" width="11.42578125" customWidth="1"/>
    <col min="6" max="6" width="11.7109375" customWidth="1"/>
    <col min="7" max="7" width="10.5703125" customWidth="1"/>
    <col min="8" max="8" width="2.85546875" customWidth="1"/>
    <col min="9" max="9" width="11.140625" customWidth="1"/>
    <col min="11" max="11" width="11.5703125" customWidth="1"/>
    <col min="13" max="13" width="13.85546875" customWidth="1"/>
  </cols>
  <sheetData>
    <row r="1" spans="1:13" ht="26.25">
      <c r="A1" s="146" t="s">
        <v>174</v>
      </c>
      <c r="B1" s="146"/>
      <c r="C1" s="146"/>
      <c r="D1" s="146"/>
      <c r="E1" s="146"/>
      <c r="F1" s="146"/>
      <c r="G1" s="146"/>
      <c r="H1" s="146"/>
      <c r="I1" s="146"/>
      <c r="J1" s="146"/>
      <c r="K1" s="146"/>
      <c r="L1" s="146"/>
      <c r="M1" s="1"/>
    </row>
    <row r="2" spans="1:13">
      <c r="A2" s="192" t="s">
        <v>156</v>
      </c>
      <c r="B2" s="192"/>
      <c r="C2" s="192"/>
      <c r="D2" s="192"/>
      <c r="E2" s="192"/>
      <c r="F2" s="192"/>
      <c r="G2" s="192"/>
      <c r="H2" s="192"/>
      <c r="I2" s="192"/>
      <c r="J2" s="192"/>
      <c r="K2" s="192"/>
      <c r="L2" s="192"/>
    </row>
    <row r="3" spans="1:13" ht="6" customHeight="1"/>
    <row r="4" spans="1:13" ht="18.75">
      <c r="A4" s="335" t="s">
        <v>175</v>
      </c>
      <c r="B4" s="335"/>
    </row>
    <row r="5" spans="1:13">
      <c r="A5" s="376" t="s">
        <v>176</v>
      </c>
      <c r="B5" s="376"/>
      <c r="C5" s="377" t="s">
        <v>30</v>
      </c>
      <c r="D5" s="377"/>
      <c r="E5" s="266" t="s">
        <v>121</v>
      </c>
      <c r="F5" s="266"/>
      <c r="G5" s="378" t="s">
        <v>122</v>
      </c>
      <c r="H5" s="378"/>
      <c r="I5" s="266"/>
      <c r="J5" s="378" t="s">
        <v>123</v>
      </c>
      <c r="K5" s="266"/>
      <c r="L5" s="378" t="s">
        <v>124</v>
      </c>
      <c r="M5" s="266"/>
    </row>
    <row r="6" spans="1:13">
      <c r="A6" s="261" t="s">
        <v>177</v>
      </c>
      <c r="B6" s="261"/>
      <c r="C6" s="379">
        <v>46266</v>
      </c>
      <c r="D6" s="261"/>
      <c r="E6" s="380">
        <v>46631</v>
      </c>
      <c r="F6" s="261"/>
      <c r="G6" s="379">
        <v>46997</v>
      </c>
      <c r="H6" s="379"/>
      <c r="I6" s="261"/>
      <c r="J6" s="379">
        <v>47362</v>
      </c>
      <c r="K6" s="261"/>
      <c r="L6" s="379">
        <v>47727</v>
      </c>
      <c r="M6" s="261"/>
    </row>
    <row r="7" spans="1:13">
      <c r="A7" s="321" t="s">
        <v>178</v>
      </c>
      <c r="B7" s="261"/>
      <c r="C7" s="355">
        <v>131.9</v>
      </c>
      <c r="D7" s="355"/>
      <c r="E7" s="381">
        <v>139</v>
      </c>
      <c r="F7" s="355"/>
      <c r="G7" s="355">
        <v>146.4</v>
      </c>
      <c r="H7" s="355"/>
      <c r="I7" s="355"/>
      <c r="J7" s="355">
        <v>152.30000000000001</v>
      </c>
      <c r="K7" s="355"/>
      <c r="L7" s="355">
        <v>157.9</v>
      </c>
      <c r="M7" s="355"/>
    </row>
    <row r="9" spans="1:13" ht="18.75">
      <c r="A9" s="335" t="s">
        <v>179</v>
      </c>
      <c r="B9" s="335"/>
    </row>
    <row r="10" spans="1:13">
      <c r="A10" s="266" t="s">
        <v>176</v>
      </c>
      <c r="B10" s="266"/>
      <c r="C10" s="266">
        <v>1</v>
      </c>
      <c r="D10" s="266"/>
      <c r="E10" s="266">
        <v>2</v>
      </c>
      <c r="F10" s="266"/>
      <c r="G10" s="266">
        <v>3</v>
      </c>
      <c r="H10" s="266"/>
      <c r="I10" s="266"/>
      <c r="J10" s="266">
        <v>4</v>
      </c>
      <c r="K10" s="266"/>
      <c r="L10" s="266">
        <v>5</v>
      </c>
      <c r="M10" s="266"/>
    </row>
    <row r="11" spans="1:13">
      <c r="A11" s="266" t="s">
        <v>180</v>
      </c>
      <c r="B11" s="266"/>
      <c r="C11" s="273">
        <f>(1+8%)^-C10</f>
        <v>0.92592592592592582</v>
      </c>
      <c r="D11" s="273"/>
      <c r="E11" s="273">
        <f>(1+8%)^-E10</f>
        <v>0.85733882030178321</v>
      </c>
      <c r="F11" s="273"/>
      <c r="G11" s="273">
        <f>(1+8%)^-G10</f>
        <v>0.79383224102016958</v>
      </c>
      <c r="H11" s="273"/>
      <c r="I11" s="273"/>
      <c r="J11" s="273">
        <f>(1+8%)^-J10</f>
        <v>0.73502985279645328</v>
      </c>
      <c r="K11" s="273"/>
      <c r="L11" s="273">
        <f>(1+8%)^-L10</f>
        <v>0.68058319703375303</v>
      </c>
      <c r="M11" s="273"/>
    </row>
    <row r="12" spans="1:13">
      <c r="A12" s="266" t="s">
        <v>181</v>
      </c>
      <c r="B12" s="266"/>
      <c r="C12" s="382">
        <f>C7*C11</f>
        <v>122.12962962962962</v>
      </c>
      <c r="D12" s="382"/>
      <c r="E12" s="382">
        <f t="shared" ref="E12" si="0">E7*E11</f>
        <v>119.17009602194787</v>
      </c>
      <c r="F12" s="382"/>
      <c r="G12" s="382">
        <f t="shared" ref="G12" si="1">G7*G11</f>
        <v>116.21704008535283</v>
      </c>
      <c r="H12" s="382"/>
      <c r="I12" s="382"/>
      <c r="J12" s="382">
        <f t="shared" ref="J12" si="2">J7*J11</f>
        <v>111.94504658089984</v>
      </c>
      <c r="K12" s="382"/>
      <c r="L12" s="382">
        <f t="shared" ref="L12" si="3">L7*L11</f>
        <v>107.46408681162961</v>
      </c>
      <c r="M12" s="382"/>
    </row>
    <row r="15" spans="1:13" ht="18.75">
      <c r="A15" s="335" t="s">
        <v>182</v>
      </c>
      <c r="B15" s="335"/>
      <c r="I15" s="388" t="s">
        <v>183</v>
      </c>
      <c r="J15" s="389"/>
      <c r="K15" s="389"/>
      <c r="L15" s="390"/>
    </row>
    <row r="16" spans="1:13">
      <c r="A16" s="261" t="s">
        <v>184</v>
      </c>
      <c r="B16" s="261"/>
      <c r="C16" s="225"/>
      <c r="D16" s="261">
        <v>157.9</v>
      </c>
      <c r="E16" s="261"/>
      <c r="F16" s="261"/>
      <c r="G16" s="261"/>
      <c r="H16" s="17"/>
      <c r="I16" s="386" t="s">
        <v>185</v>
      </c>
      <c r="J16" s="386"/>
      <c r="K16" s="386"/>
      <c r="L16" s="386"/>
      <c r="M16" s="28">
        <f>SUM(C12:M12)</f>
        <v>576.92589912945982</v>
      </c>
    </row>
    <row r="17" spans="1:13">
      <c r="A17" s="383" t="s">
        <v>186</v>
      </c>
      <c r="B17" s="261"/>
      <c r="C17" s="225"/>
      <c r="D17" s="260">
        <f>D16*(1+3%)</f>
        <v>162.637</v>
      </c>
      <c r="E17" s="260"/>
      <c r="F17" s="260"/>
      <c r="G17" s="260"/>
      <c r="H17" s="26"/>
      <c r="I17" s="387" t="s">
        <v>187</v>
      </c>
      <c r="J17" s="386"/>
      <c r="K17" s="386"/>
      <c r="L17" s="386"/>
      <c r="M17" s="24">
        <v>2211.86</v>
      </c>
    </row>
    <row r="18" spans="1:13">
      <c r="A18" s="261" t="s">
        <v>188</v>
      </c>
      <c r="B18" s="261"/>
      <c r="C18" s="225"/>
      <c r="D18" s="384">
        <v>0.03</v>
      </c>
      <c r="E18" s="384"/>
      <c r="F18" s="384"/>
      <c r="G18" s="384"/>
      <c r="H18" s="27"/>
      <c r="I18" s="262" t="s">
        <v>189</v>
      </c>
      <c r="J18" s="262"/>
      <c r="K18" s="262"/>
      <c r="L18" s="262"/>
      <c r="M18" s="29">
        <f>SUM(M16:M17)</f>
        <v>2788.7858991294597</v>
      </c>
    </row>
    <row r="19" spans="1:13">
      <c r="A19" s="261" t="s">
        <v>146</v>
      </c>
      <c r="B19" s="261"/>
      <c r="C19" s="225"/>
      <c r="D19" s="384">
        <v>0.08</v>
      </c>
      <c r="E19" s="384"/>
      <c r="F19" s="384"/>
      <c r="G19" s="384"/>
      <c r="H19" s="20"/>
    </row>
    <row r="20" spans="1:13" ht="18.75">
      <c r="A20" s="263" t="s">
        <v>190</v>
      </c>
      <c r="B20" s="264"/>
      <c r="C20" s="339"/>
      <c r="D20" s="385">
        <f>D17/(D19-D18)</f>
        <v>3252.74</v>
      </c>
      <c r="E20" s="385"/>
      <c r="F20" s="385"/>
      <c r="G20" s="385"/>
      <c r="H20" s="25"/>
      <c r="I20" s="354" t="s">
        <v>191</v>
      </c>
      <c r="J20" s="391"/>
      <c r="K20" s="391"/>
      <c r="L20" s="391"/>
    </row>
    <row r="21" spans="1:13">
      <c r="A21" s="261" t="s">
        <v>192</v>
      </c>
      <c r="B21" s="261"/>
      <c r="C21" s="225"/>
      <c r="D21" s="261">
        <v>0.68</v>
      </c>
      <c r="E21" s="261"/>
      <c r="F21" s="261"/>
      <c r="G21" s="261"/>
      <c r="H21" s="17"/>
      <c r="I21" s="392" t="s">
        <v>193</v>
      </c>
      <c r="J21" s="246"/>
      <c r="K21" s="246"/>
      <c r="L21" s="216"/>
      <c r="M21" s="24">
        <v>2788.79</v>
      </c>
    </row>
    <row r="22" spans="1:13">
      <c r="A22" s="263" t="s">
        <v>194</v>
      </c>
      <c r="B22" s="264"/>
      <c r="C22" s="339"/>
      <c r="D22" s="385">
        <f>D20*D21</f>
        <v>2211.8632000000002</v>
      </c>
      <c r="E22" s="385"/>
      <c r="F22" s="385"/>
      <c r="G22" s="385"/>
      <c r="H22" s="25"/>
      <c r="I22" s="261" t="s">
        <v>195</v>
      </c>
      <c r="J22" s="261"/>
      <c r="K22" s="261"/>
      <c r="L22" s="261"/>
      <c r="M22" s="24">
        <v>35.9</v>
      </c>
    </row>
    <row r="23" spans="1:13">
      <c r="I23" s="261" t="s">
        <v>196</v>
      </c>
      <c r="J23" s="261"/>
      <c r="K23" s="261"/>
      <c r="L23" s="261"/>
      <c r="M23" s="24">
        <v>-90.6</v>
      </c>
    </row>
    <row r="24" spans="1:13" ht="18.75">
      <c r="A24" s="335" t="s">
        <v>197</v>
      </c>
      <c r="B24" s="335"/>
      <c r="I24" s="393" t="s">
        <v>198</v>
      </c>
      <c r="J24" s="357"/>
      <c r="K24" s="357"/>
      <c r="L24" s="357"/>
      <c r="M24" s="23">
        <f>SUM(M21:M23)</f>
        <v>2734.09</v>
      </c>
    </row>
    <row r="25" spans="1:13">
      <c r="A25" s="261" t="s">
        <v>193</v>
      </c>
      <c r="B25" s="261"/>
      <c r="C25" s="261"/>
      <c r="D25" s="260">
        <f>M18</f>
        <v>2788.7858991294597</v>
      </c>
      <c r="E25" s="261"/>
      <c r="F25" s="261"/>
      <c r="G25" s="261"/>
    </row>
    <row r="26" spans="1:13" ht="18.75">
      <c r="A26" s="261" t="s">
        <v>198</v>
      </c>
      <c r="B26" s="261"/>
      <c r="C26" s="261"/>
      <c r="D26" s="261">
        <f>M24</f>
        <v>2734.09</v>
      </c>
      <c r="E26" s="261"/>
      <c r="F26" s="261"/>
      <c r="G26" s="261"/>
      <c r="I26" s="354" t="s">
        <v>199</v>
      </c>
      <c r="J26" s="391"/>
      <c r="K26" s="391"/>
      <c r="L26" s="391"/>
    </row>
    <row r="27" spans="1:13">
      <c r="A27" s="261" t="s">
        <v>200</v>
      </c>
      <c r="B27" s="261"/>
      <c r="C27" s="261"/>
      <c r="D27" s="261">
        <v>195.29</v>
      </c>
      <c r="E27" s="261"/>
      <c r="F27" s="261"/>
      <c r="G27" s="261"/>
      <c r="I27" s="261" t="s">
        <v>198</v>
      </c>
      <c r="J27" s="261"/>
      <c r="K27" s="261"/>
      <c r="L27" s="261"/>
      <c r="M27" s="21">
        <v>2734.09</v>
      </c>
    </row>
    <row r="28" spans="1:13">
      <c r="A28" s="261" t="s">
        <v>201</v>
      </c>
      <c r="B28" s="261"/>
      <c r="C28" s="261"/>
      <c r="D28" s="261">
        <v>308.8</v>
      </c>
      <c r="E28" s="261"/>
      <c r="F28" s="261"/>
      <c r="G28" s="261"/>
      <c r="I28" s="261" t="s">
        <v>202</v>
      </c>
      <c r="J28" s="261"/>
      <c r="K28" s="261"/>
      <c r="L28" s="261"/>
      <c r="M28" s="21">
        <v>14</v>
      </c>
    </row>
    <row r="29" spans="1:13">
      <c r="A29" s="263" t="s">
        <v>12</v>
      </c>
      <c r="B29" s="264"/>
      <c r="C29" s="264"/>
      <c r="D29" s="394">
        <f>(D27-D28)/D28</f>
        <v>-0.36758419689119176</v>
      </c>
      <c r="E29" s="394"/>
      <c r="F29" s="394"/>
      <c r="G29" s="394"/>
      <c r="I29" s="395" t="s">
        <v>200</v>
      </c>
      <c r="J29" s="262"/>
      <c r="K29" s="262"/>
      <c r="L29" s="262"/>
      <c r="M29" s="22">
        <f>M27/M28</f>
        <v>195.29214285714286</v>
      </c>
    </row>
    <row r="31" spans="1:13" ht="18.75">
      <c r="A31" s="335" t="s">
        <v>203</v>
      </c>
      <c r="B31" s="335"/>
      <c r="C31" s="335"/>
      <c r="D31" s="335"/>
      <c r="E31" s="335"/>
      <c r="F31" s="335"/>
      <c r="G31" s="335"/>
      <c r="H31" s="335"/>
    </row>
    <row r="32" spans="1:13" ht="15.75">
      <c r="B32" s="375" t="s">
        <v>204</v>
      </c>
      <c r="C32" s="192"/>
      <c r="D32" s="192"/>
      <c r="E32" s="192"/>
      <c r="F32" s="192"/>
      <c r="G32" s="192"/>
    </row>
    <row r="33" spans="1:13">
      <c r="B33" s="17"/>
      <c r="C33" s="35">
        <v>0.01</v>
      </c>
      <c r="D33" s="30">
        <v>0.02</v>
      </c>
      <c r="E33" s="31">
        <v>0.03</v>
      </c>
      <c r="F33" s="30">
        <v>0.04</v>
      </c>
      <c r="G33" s="30">
        <v>0.05</v>
      </c>
    </row>
    <row r="34" spans="1:13">
      <c r="A34" s="373" t="s">
        <v>146</v>
      </c>
      <c r="B34" s="34">
        <v>7.0000000000000007E-2</v>
      </c>
      <c r="C34" s="21">
        <v>177</v>
      </c>
      <c r="D34" s="24">
        <v>209</v>
      </c>
      <c r="E34" s="21">
        <v>256</v>
      </c>
      <c r="F34" s="21">
        <v>330</v>
      </c>
      <c r="G34" s="21">
        <v>460</v>
      </c>
      <c r="H34" s="33"/>
      <c r="I34" s="33"/>
      <c r="J34" s="33"/>
      <c r="K34" s="33"/>
      <c r="L34" s="33"/>
      <c r="M34" s="33"/>
    </row>
    <row r="35" spans="1:13">
      <c r="A35" s="374"/>
      <c r="B35" s="34">
        <v>7.4999999999999997E-2</v>
      </c>
      <c r="C35" s="21">
        <v>166</v>
      </c>
      <c r="D35" s="24">
        <v>192</v>
      </c>
      <c r="E35" s="21">
        <v>229</v>
      </c>
      <c r="F35" s="21">
        <v>285</v>
      </c>
      <c r="G35" s="21">
        <v>384</v>
      </c>
      <c r="H35" s="33"/>
      <c r="I35" s="33"/>
      <c r="J35" s="33"/>
      <c r="K35" s="33"/>
      <c r="L35" s="33"/>
      <c r="M35" s="33"/>
    </row>
    <row r="36" spans="1:13">
      <c r="A36" s="374"/>
      <c r="B36" s="39">
        <v>0.08</v>
      </c>
      <c r="C36" s="23">
        <v>157</v>
      </c>
      <c r="D36" s="40">
        <v>178</v>
      </c>
      <c r="E36" s="41">
        <v>195</v>
      </c>
      <c r="F36" s="23">
        <v>246</v>
      </c>
      <c r="G36" s="23">
        <v>324</v>
      </c>
      <c r="H36" s="33"/>
      <c r="I36" s="33"/>
      <c r="J36" s="33"/>
      <c r="K36" s="33"/>
      <c r="L36" s="33"/>
      <c r="M36" s="33"/>
    </row>
    <row r="37" spans="1:13">
      <c r="A37" s="374"/>
      <c r="B37" s="34">
        <v>8.5000000000000006E-2</v>
      </c>
      <c r="C37" s="21">
        <v>148</v>
      </c>
      <c r="D37" s="24">
        <v>165</v>
      </c>
      <c r="E37" s="21">
        <v>191</v>
      </c>
      <c r="F37" s="21">
        <v>228</v>
      </c>
      <c r="G37" s="21">
        <v>292</v>
      </c>
      <c r="H37" s="33"/>
      <c r="I37" s="33"/>
      <c r="J37" s="33"/>
      <c r="K37" s="33"/>
      <c r="L37" s="33"/>
      <c r="M37" s="33"/>
    </row>
    <row r="38" spans="1:13">
      <c r="A38" s="374"/>
      <c r="B38" s="34">
        <v>9.5000000000000001E-2</v>
      </c>
      <c r="C38" s="21">
        <v>132</v>
      </c>
      <c r="D38" s="24">
        <v>150</v>
      </c>
      <c r="E38" s="21">
        <v>171</v>
      </c>
      <c r="F38" s="21">
        <v>203</v>
      </c>
      <c r="G38" s="21">
        <v>252</v>
      </c>
    </row>
    <row r="100" spans="1:2">
      <c r="A100" s="145" t="s">
        <v>200</v>
      </c>
      <c r="B100">
        <f>D27</f>
        <v>195.29</v>
      </c>
    </row>
    <row r="101" spans="1:2">
      <c r="A101" s="145" t="s">
        <v>205</v>
      </c>
      <c r="B101">
        <f>D28</f>
        <v>308.8</v>
      </c>
    </row>
  </sheetData>
  <mergeCells count="82">
    <mergeCell ref="A29:C29"/>
    <mergeCell ref="I27:L27"/>
    <mergeCell ref="A31:H31"/>
    <mergeCell ref="A24:B24"/>
    <mergeCell ref="A25:C25"/>
    <mergeCell ref="A26:C26"/>
    <mergeCell ref="A27:C27"/>
    <mergeCell ref="A28:C28"/>
    <mergeCell ref="D25:G25"/>
    <mergeCell ref="D26:G26"/>
    <mergeCell ref="D27:G27"/>
    <mergeCell ref="D28:G28"/>
    <mergeCell ref="D29:G29"/>
    <mergeCell ref="I28:L28"/>
    <mergeCell ref="I29:L29"/>
    <mergeCell ref="I21:L21"/>
    <mergeCell ref="I22:L22"/>
    <mergeCell ref="I23:L23"/>
    <mergeCell ref="I24:L24"/>
    <mergeCell ref="I26:L26"/>
    <mergeCell ref="I16:L16"/>
    <mergeCell ref="I17:L17"/>
    <mergeCell ref="I18:L18"/>
    <mergeCell ref="I15:L15"/>
    <mergeCell ref="I20:L20"/>
    <mergeCell ref="A21:C21"/>
    <mergeCell ref="A22:C22"/>
    <mergeCell ref="D16:G16"/>
    <mergeCell ref="D17:G17"/>
    <mergeCell ref="D18:G18"/>
    <mergeCell ref="D19:G19"/>
    <mergeCell ref="D20:G20"/>
    <mergeCell ref="D21:G21"/>
    <mergeCell ref="D22:G22"/>
    <mergeCell ref="A20:C20"/>
    <mergeCell ref="A15:B15"/>
    <mergeCell ref="A16:C16"/>
    <mergeCell ref="A17:C17"/>
    <mergeCell ref="A18:C18"/>
    <mergeCell ref="A19:C19"/>
    <mergeCell ref="J12:K12"/>
    <mergeCell ref="J11:K11"/>
    <mergeCell ref="J10:K10"/>
    <mergeCell ref="L10:M10"/>
    <mergeCell ref="L11:M11"/>
    <mergeCell ref="L12:M12"/>
    <mergeCell ref="E12:F12"/>
    <mergeCell ref="E11:F11"/>
    <mergeCell ref="E10:F10"/>
    <mergeCell ref="G10:I10"/>
    <mergeCell ref="G11:I11"/>
    <mergeCell ref="G12:I12"/>
    <mergeCell ref="A10:B10"/>
    <mergeCell ref="A11:B11"/>
    <mergeCell ref="A12:B12"/>
    <mergeCell ref="C10:D10"/>
    <mergeCell ref="C11:D11"/>
    <mergeCell ref="C12:D12"/>
    <mergeCell ref="J6:K6"/>
    <mergeCell ref="L6:M6"/>
    <mergeCell ref="A7:B7"/>
    <mergeCell ref="C7:D7"/>
    <mergeCell ref="E7:F7"/>
    <mergeCell ref="G7:I7"/>
    <mergeCell ref="J7:K7"/>
    <mergeCell ref="L7:M7"/>
    <mergeCell ref="A34:A38"/>
    <mergeCell ref="B32:G32"/>
    <mergeCell ref="A1:L1"/>
    <mergeCell ref="A2:L2"/>
    <mergeCell ref="A4:B4"/>
    <mergeCell ref="A5:B5"/>
    <mergeCell ref="A6:B6"/>
    <mergeCell ref="C5:D5"/>
    <mergeCell ref="E5:F5"/>
    <mergeCell ref="G5:I5"/>
    <mergeCell ref="J5:K5"/>
    <mergeCell ref="A9:B9"/>
    <mergeCell ref="L5:M5"/>
    <mergeCell ref="C6:D6"/>
    <mergeCell ref="E6:F6"/>
    <mergeCell ref="G6:I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03B02-797B-460C-9C05-1764BA677E61}">
  <dimension ref="A1:O107"/>
  <sheetViews>
    <sheetView showGridLines="0" topLeftCell="A23" workbookViewId="0">
      <selection activeCell="C37" sqref="C37"/>
    </sheetView>
  </sheetViews>
  <sheetFormatPr defaultRowHeight="15"/>
  <cols>
    <col min="2" max="2" width="10.7109375" customWidth="1"/>
    <col min="3" max="3" width="16.5703125" customWidth="1"/>
    <col min="4" max="4" width="26.42578125" customWidth="1"/>
    <col min="5" max="5" width="17.28515625" customWidth="1"/>
    <col min="6" max="6" width="21.28515625" customWidth="1"/>
    <col min="7" max="7" width="1.7109375" customWidth="1"/>
    <col min="8" max="8" width="25.85546875" customWidth="1"/>
    <col min="9" max="9" width="2" customWidth="1"/>
    <col min="10" max="10" width="22" customWidth="1"/>
    <col min="11" max="11" width="12.85546875" customWidth="1"/>
    <col min="12" max="12" width="10.42578125" customWidth="1"/>
    <col min="13" max="13" width="19.28515625" customWidth="1"/>
  </cols>
  <sheetData>
    <row r="1" spans="1:15" ht="26.25">
      <c r="A1" s="146" t="s">
        <v>206</v>
      </c>
      <c r="B1" s="146"/>
      <c r="C1" s="146"/>
      <c r="D1" s="146"/>
      <c r="E1" s="146"/>
      <c r="F1" s="146"/>
      <c r="G1" s="146"/>
      <c r="H1" s="146"/>
      <c r="I1" s="146"/>
      <c r="J1" s="146"/>
      <c r="K1" s="146"/>
      <c r="L1" s="146"/>
      <c r="M1" s="146"/>
      <c r="N1" s="51"/>
    </row>
    <row r="2" spans="1:15">
      <c r="A2" s="192" t="s">
        <v>207</v>
      </c>
      <c r="B2" s="192"/>
      <c r="C2" s="192"/>
      <c r="D2" s="192"/>
      <c r="E2" s="192"/>
      <c r="F2" s="192"/>
      <c r="G2" s="192"/>
      <c r="H2" s="192"/>
      <c r="I2" s="192"/>
      <c r="J2" s="192"/>
      <c r="K2" s="192"/>
      <c r="L2" s="192"/>
      <c r="M2" s="192"/>
      <c r="N2" s="17"/>
    </row>
    <row r="4" spans="1:15" ht="26.25">
      <c r="A4" s="146" t="s">
        <v>208</v>
      </c>
      <c r="B4" s="146"/>
      <c r="C4" s="146"/>
      <c r="D4" s="146"/>
      <c r="E4" s="146"/>
      <c r="F4" s="146"/>
      <c r="G4" s="146"/>
      <c r="H4" s="146"/>
      <c r="I4" s="146"/>
      <c r="J4" s="146"/>
      <c r="K4" s="146"/>
      <c r="L4" s="146"/>
      <c r="M4" s="146"/>
      <c r="N4" s="51"/>
    </row>
    <row r="5" spans="1:15" ht="7.5" customHeight="1">
      <c r="A5" s="192"/>
      <c r="B5" s="192"/>
    </row>
    <row r="6" spans="1:15" ht="18.75" customHeight="1">
      <c r="A6" s="396" t="s">
        <v>209</v>
      </c>
      <c r="B6" s="396"/>
      <c r="C6" s="397" t="s">
        <v>210</v>
      </c>
      <c r="D6" s="397" t="s">
        <v>211</v>
      </c>
      <c r="E6" s="399" t="s">
        <v>212</v>
      </c>
      <c r="F6" s="397" t="s">
        <v>213</v>
      </c>
      <c r="G6" s="68"/>
      <c r="H6" s="401" t="s">
        <v>214</v>
      </c>
      <c r="I6" s="68"/>
      <c r="J6" s="397" t="s">
        <v>215</v>
      </c>
      <c r="K6" s="403" t="s">
        <v>216</v>
      </c>
      <c r="L6" s="397" t="s">
        <v>217</v>
      </c>
      <c r="M6" s="397" t="s">
        <v>218</v>
      </c>
      <c r="N6" s="50"/>
      <c r="O6" s="407"/>
    </row>
    <row r="7" spans="1:15" ht="18.75" customHeight="1">
      <c r="A7" s="396"/>
      <c r="B7" s="396"/>
      <c r="C7" s="398"/>
      <c r="D7" s="398"/>
      <c r="E7" s="400"/>
      <c r="F7" s="398"/>
      <c r="G7" s="69"/>
      <c r="H7" s="402"/>
      <c r="I7" s="69"/>
      <c r="J7" s="398"/>
      <c r="K7" s="404"/>
      <c r="L7" s="398"/>
      <c r="M7" s="398"/>
      <c r="N7" s="50"/>
      <c r="O7" s="407"/>
    </row>
    <row r="8" spans="1:15">
      <c r="A8" s="262" t="s">
        <v>219</v>
      </c>
      <c r="B8" s="262"/>
      <c r="C8" s="60">
        <v>308.8</v>
      </c>
      <c r="D8" s="61">
        <v>15</v>
      </c>
      <c r="E8" s="60">
        <v>4630</v>
      </c>
      <c r="F8" s="67">
        <v>90.6</v>
      </c>
      <c r="G8" s="67"/>
      <c r="H8" s="70">
        <v>35.9</v>
      </c>
      <c r="I8" s="61"/>
      <c r="J8" s="61">
        <v>4684</v>
      </c>
      <c r="K8" s="58">
        <v>416.1</v>
      </c>
      <c r="L8" s="58">
        <v>144.69999999999999</v>
      </c>
      <c r="M8" s="78">
        <v>133</v>
      </c>
    </row>
    <row r="9" spans="1:15">
      <c r="A9" s="261" t="s">
        <v>220</v>
      </c>
      <c r="B9" s="261"/>
      <c r="C9" s="42">
        <v>414.1</v>
      </c>
      <c r="D9" s="43">
        <v>7.4</v>
      </c>
      <c r="E9" s="42">
        <v>3110</v>
      </c>
      <c r="F9" s="42">
        <v>40</v>
      </c>
      <c r="G9" s="38"/>
      <c r="H9" s="38">
        <v>30.2</v>
      </c>
      <c r="I9" s="38"/>
      <c r="J9" s="64">
        <v>3119.8</v>
      </c>
      <c r="K9" s="42">
        <v>281.7</v>
      </c>
      <c r="L9" s="42">
        <v>162.6</v>
      </c>
      <c r="M9" s="81">
        <v>128.5</v>
      </c>
    </row>
    <row r="10" spans="1:15">
      <c r="A10" s="261" t="s">
        <v>221</v>
      </c>
      <c r="B10" s="261"/>
      <c r="C10" s="42">
        <v>609.1</v>
      </c>
      <c r="D10" s="43">
        <v>2.5</v>
      </c>
      <c r="E10" s="42">
        <v>1522.75</v>
      </c>
      <c r="F10" s="62">
        <v>58.7</v>
      </c>
      <c r="G10" s="62"/>
      <c r="H10" s="63">
        <v>39.1</v>
      </c>
      <c r="I10" s="63"/>
      <c r="J10" s="42">
        <v>1542.35</v>
      </c>
      <c r="K10" s="43">
        <v>200.9</v>
      </c>
      <c r="L10" s="42">
        <v>101.8</v>
      </c>
      <c r="M10" s="81">
        <v>83.2</v>
      </c>
    </row>
    <row r="11" spans="1:15">
      <c r="A11" s="261" t="s">
        <v>222</v>
      </c>
      <c r="B11" s="261"/>
      <c r="C11" s="42">
        <v>263.27</v>
      </c>
      <c r="D11" s="43">
        <v>10.8</v>
      </c>
      <c r="E11" s="59">
        <f>C11*D11</f>
        <v>2843.3159999999998</v>
      </c>
      <c r="F11" s="42">
        <v>65.599999999999994</v>
      </c>
      <c r="G11" s="38"/>
      <c r="H11" s="38">
        <v>90.1</v>
      </c>
      <c r="I11" s="38"/>
      <c r="J11" s="66">
        <f>E11+F11-H11</f>
        <v>2818.8159999999998</v>
      </c>
      <c r="K11" s="42">
        <v>716.9</v>
      </c>
      <c r="L11" s="42">
        <v>145.6</v>
      </c>
      <c r="M11" s="81">
        <v>79.900000000000006</v>
      </c>
    </row>
    <row r="12" spans="1:15">
      <c r="A12" s="261" t="s">
        <v>223</v>
      </c>
      <c r="B12" s="261"/>
      <c r="C12" s="42">
        <v>214.13</v>
      </c>
      <c r="D12" s="43">
        <v>24.5</v>
      </c>
      <c r="E12" s="42">
        <v>5246.18</v>
      </c>
      <c r="F12" s="62">
        <v>8.3000000000000007</v>
      </c>
      <c r="G12" s="62"/>
      <c r="H12" s="63">
        <v>10.6</v>
      </c>
      <c r="I12" s="63"/>
      <c r="J12" s="42">
        <f>E12+F12-H12</f>
        <v>5243.88</v>
      </c>
      <c r="K12" s="43">
        <v>215.9</v>
      </c>
      <c r="L12" s="42">
        <v>133.1</v>
      </c>
      <c r="M12" s="81">
        <v>130.30000000000001</v>
      </c>
    </row>
    <row r="14" spans="1:15" ht="18.75">
      <c r="A14" s="335" t="s">
        <v>224</v>
      </c>
      <c r="B14" s="335"/>
      <c r="C14" s="335"/>
      <c r="D14" s="335"/>
      <c r="E14" s="335"/>
      <c r="F14" s="1"/>
      <c r="G14" s="53"/>
      <c r="H14" s="335" t="s">
        <v>225</v>
      </c>
      <c r="I14" s="335"/>
      <c r="J14" s="335"/>
      <c r="K14" s="335"/>
      <c r="L14" s="335"/>
      <c r="M14" s="335"/>
    </row>
    <row r="15" spans="1:15" s="53" customFormat="1" ht="6" customHeight="1">
      <c r="A15" s="50"/>
      <c r="B15" s="50"/>
      <c r="C15" s="50"/>
      <c r="D15" s="50"/>
      <c r="E15" s="50"/>
    </row>
    <row r="16" spans="1:15" ht="15" customHeight="1">
      <c r="A16" s="396" t="s">
        <v>209</v>
      </c>
      <c r="B16" s="396"/>
      <c r="C16" s="415" t="s">
        <v>226</v>
      </c>
      <c r="D16" s="406" t="s">
        <v>227</v>
      </c>
      <c r="E16" s="406" t="s">
        <v>228</v>
      </c>
      <c r="F16" s="406" t="s">
        <v>229</v>
      </c>
      <c r="G16" s="53"/>
      <c r="H16" s="410" t="s">
        <v>230</v>
      </c>
      <c r="I16" s="76"/>
      <c r="J16" s="409" t="s">
        <v>231</v>
      </c>
      <c r="K16" s="408" t="s">
        <v>232</v>
      </c>
      <c r="L16" s="409" t="s">
        <v>233</v>
      </c>
      <c r="M16" s="409" t="s">
        <v>234</v>
      </c>
    </row>
    <row r="17" spans="1:13" ht="15" customHeight="1">
      <c r="A17" s="396"/>
      <c r="B17" s="396"/>
      <c r="C17" s="415"/>
      <c r="D17" s="406"/>
      <c r="E17" s="406"/>
      <c r="F17" s="406"/>
      <c r="G17" s="53"/>
      <c r="H17" s="411"/>
      <c r="I17" s="52"/>
      <c r="J17" s="409"/>
      <c r="K17" s="408"/>
      <c r="L17" s="409"/>
      <c r="M17" s="409"/>
    </row>
    <row r="18" spans="1:13">
      <c r="A18" s="262" t="s">
        <v>219</v>
      </c>
      <c r="B18" s="405"/>
      <c r="C18" s="58">
        <v>41.33</v>
      </c>
      <c r="D18" s="78">
        <f>J8/K8</f>
        <v>11.256909396779619</v>
      </c>
      <c r="E18" s="78">
        <f>J8/L8</f>
        <v>32.370421561852112</v>
      </c>
      <c r="F18" s="78">
        <f>J8/M8</f>
        <v>35.218045112781958</v>
      </c>
      <c r="G18" s="53"/>
      <c r="H18" s="71" t="s">
        <v>226</v>
      </c>
      <c r="J18" s="74">
        <f>AVERAGE(C18:C22)</f>
        <v>35.605999999999995</v>
      </c>
      <c r="K18" s="24">
        <f>MEDIAN(C18:C22)</f>
        <v>36.700000000000003</v>
      </c>
      <c r="L18" s="21">
        <v>43.7</v>
      </c>
      <c r="M18" s="21">
        <v>25.9</v>
      </c>
    </row>
    <row r="19" spans="1:13">
      <c r="A19" s="261" t="s">
        <v>220</v>
      </c>
      <c r="B19" s="261"/>
      <c r="C19" s="80">
        <v>30.4</v>
      </c>
      <c r="D19" s="65">
        <f>J9/K9</f>
        <v>11.074902378416757</v>
      </c>
      <c r="E19" s="65">
        <f>J9/L9</f>
        <v>19.186961869618699</v>
      </c>
      <c r="F19" s="65">
        <f>J9/M9</f>
        <v>24.278599221789886</v>
      </c>
      <c r="H19" s="75" t="s">
        <v>235</v>
      </c>
      <c r="I19" s="24"/>
      <c r="J19" s="28">
        <f>AVERAGE(D18:D22)</f>
        <v>11.645886540805972</v>
      </c>
      <c r="K19" s="28">
        <f>MEDIAN(D18:D22)</f>
        <v>11.074902378416757</v>
      </c>
      <c r="L19" s="21">
        <v>24.29</v>
      </c>
      <c r="M19" s="21">
        <v>3.93</v>
      </c>
    </row>
    <row r="20" spans="1:13">
      <c r="A20" s="261" t="s">
        <v>221</v>
      </c>
      <c r="B20" s="261"/>
      <c r="C20" s="37">
        <v>25.9</v>
      </c>
      <c r="D20" s="59">
        <f>J10/K10</f>
        <v>7.6772025883524133</v>
      </c>
      <c r="E20" s="59">
        <f>J10/L10</f>
        <v>15.150785854616895</v>
      </c>
      <c r="F20" s="59">
        <f>J10/M10</f>
        <v>18.537860576923077</v>
      </c>
      <c r="H20" s="72" t="s">
        <v>236</v>
      </c>
      <c r="I20" s="9"/>
      <c r="J20" s="73">
        <f>AVERAGE(E18:E22)</f>
        <v>25.093243173521074</v>
      </c>
      <c r="K20" s="28">
        <f>MEDIAN(E18:E22)</f>
        <v>19.36</v>
      </c>
      <c r="L20" s="21">
        <v>39.4</v>
      </c>
      <c r="M20" s="21">
        <v>15.15</v>
      </c>
    </row>
    <row r="21" spans="1:13">
      <c r="A21" s="261" t="s">
        <v>222</v>
      </c>
      <c r="B21" s="261"/>
      <c r="C21" s="62">
        <v>36.700000000000003</v>
      </c>
      <c r="D21" s="59">
        <f>J11/K11</f>
        <v>3.9319514576649461</v>
      </c>
      <c r="E21" s="42">
        <f>J11/L11</f>
        <v>19.36</v>
      </c>
      <c r="F21" s="59">
        <f>J11/M11</f>
        <v>35.279299123904877</v>
      </c>
      <c r="H21" s="72" t="s">
        <v>237</v>
      </c>
      <c r="I21" s="7"/>
      <c r="J21" s="77">
        <f>AVERAGE(F18:F22)</f>
        <v>30.71169403808533</v>
      </c>
      <c r="K21" s="21">
        <f>MEDIAN(F18:F22)</f>
        <v>35.218045112781958</v>
      </c>
      <c r="L21" s="21">
        <v>40.24</v>
      </c>
      <c r="M21" s="21">
        <v>18.54</v>
      </c>
    </row>
    <row r="22" spans="1:13">
      <c r="A22" s="261" t="s">
        <v>223</v>
      </c>
      <c r="B22" s="261"/>
      <c r="C22" s="79">
        <v>43.7</v>
      </c>
      <c r="D22" s="59">
        <f>J12/K12</f>
        <v>24.288466882816117</v>
      </c>
      <c r="E22" s="59">
        <f>J12/L12</f>
        <v>39.398046581517661</v>
      </c>
      <c r="F22" s="59">
        <f>J12/M12</f>
        <v>40.244666155026856</v>
      </c>
    </row>
    <row r="23" spans="1:13" ht="12" customHeight="1">
      <c r="A23" s="17"/>
      <c r="B23" s="17"/>
      <c r="H23" s="412" t="s">
        <v>238</v>
      </c>
      <c r="I23" s="413"/>
      <c r="J23" s="413"/>
      <c r="K23" s="413"/>
      <c r="L23" s="413"/>
      <c r="M23" s="413"/>
    </row>
    <row r="24" spans="1:13">
      <c r="H24" s="413"/>
      <c r="I24" s="413"/>
      <c r="J24" s="413"/>
      <c r="K24" s="413"/>
      <c r="L24" s="413"/>
      <c r="M24" s="413"/>
    </row>
    <row r="25" spans="1:13" ht="4.5" customHeight="1">
      <c r="H25" s="17"/>
      <c r="I25" s="17"/>
      <c r="J25" s="57"/>
      <c r="K25" s="57"/>
      <c r="L25" s="57"/>
      <c r="M25" s="57"/>
    </row>
    <row r="26" spans="1:13" ht="18.75" customHeight="1">
      <c r="A26" s="335" t="s">
        <v>239</v>
      </c>
      <c r="B26" s="335"/>
      <c r="C26" s="335"/>
      <c r="D26" s="335"/>
      <c r="E26" s="335"/>
      <c r="F26" s="1"/>
      <c r="J26" s="414" t="s">
        <v>240</v>
      </c>
      <c r="K26" s="414"/>
      <c r="L26" s="414"/>
      <c r="M26" s="414"/>
    </row>
    <row r="27" spans="1:13" ht="6" customHeight="1"/>
    <row r="28" spans="1:13">
      <c r="A28" s="151" t="s">
        <v>230</v>
      </c>
      <c r="B28" s="151"/>
      <c r="C28" s="416" t="s">
        <v>241</v>
      </c>
      <c r="D28" s="177" t="s">
        <v>242</v>
      </c>
      <c r="E28" s="416" t="s">
        <v>243</v>
      </c>
      <c r="F28" s="416" t="s">
        <v>244</v>
      </c>
      <c r="G28" s="199"/>
      <c r="H28" s="418" t="s">
        <v>245</v>
      </c>
      <c r="I28" s="54"/>
    </row>
    <row r="29" spans="1:13">
      <c r="A29" s="151"/>
      <c r="B29" s="151"/>
      <c r="C29" s="416"/>
      <c r="D29" s="177"/>
      <c r="E29" s="416"/>
      <c r="F29" s="417"/>
      <c r="G29" s="199"/>
      <c r="H29" s="418"/>
      <c r="I29" s="55"/>
    </row>
    <row r="30" spans="1:13" ht="15" customHeight="1">
      <c r="A30" s="225" t="s">
        <v>246</v>
      </c>
      <c r="B30" s="226"/>
      <c r="C30" s="47">
        <v>11.65</v>
      </c>
      <c r="D30" s="49">
        <v>416.1</v>
      </c>
      <c r="E30" s="94">
        <f>C30*D30</f>
        <v>4847.5650000000005</v>
      </c>
      <c r="F30" s="98">
        <f>E30-F8+H8</f>
        <v>4792.8649999999998</v>
      </c>
      <c r="G30" s="46"/>
      <c r="H30" s="87">
        <f>F30/D8</f>
        <v>319.52433333333335</v>
      </c>
    </row>
    <row r="31" spans="1:13">
      <c r="A31" s="225" t="s">
        <v>247</v>
      </c>
      <c r="B31" s="226"/>
      <c r="C31" s="47">
        <v>25.09</v>
      </c>
      <c r="D31" s="49">
        <v>144.69999999999999</v>
      </c>
      <c r="E31" s="94">
        <f>C31*D31</f>
        <v>3630.5229999999997</v>
      </c>
      <c r="F31" s="94">
        <f>E31-F8+H8</f>
        <v>3575.8229999999999</v>
      </c>
      <c r="G31" s="37"/>
      <c r="H31" s="84">
        <f>F31/D8</f>
        <v>238.38819999999998</v>
      </c>
    </row>
    <row r="32" spans="1:13" ht="15" customHeight="1">
      <c r="A32" s="225" t="s">
        <v>248</v>
      </c>
      <c r="B32" s="226"/>
      <c r="C32" s="48">
        <v>35.61</v>
      </c>
      <c r="D32" s="86">
        <v>7.47</v>
      </c>
      <c r="E32" s="98">
        <f>F32+F8-H8</f>
        <v>4044.8004999999994</v>
      </c>
      <c r="F32" s="95">
        <f>H32*D8</f>
        <v>3990.1004999999996</v>
      </c>
      <c r="G32" s="97"/>
      <c r="H32" s="96">
        <f>C32*D32</f>
        <v>266.00669999999997</v>
      </c>
    </row>
    <row r="33" spans="1:13" ht="15" customHeight="1">
      <c r="A33" s="423" t="s">
        <v>249</v>
      </c>
      <c r="B33" s="424"/>
      <c r="C33" s="88"/>
      <c r="D33" s="88"/>
      <c r="E33" s="88"/>
      <c r="F33" s="89"/>
      <c r="G33" s="88"/>
      <c r="H33" s="427">
        <f>AVERAGE(H30:H32)</f>
        <v>274.63974444444443</v>
      </c>
      <c r="I33" s="56"/>
    </row>
    <row r="34" spans="1:13" ht="15" customHeight="1">
      <c r="A34" s="425"/>
      <c r="B34" s="426"/>
      <c r="C34" s="92"/>
      <c r="D34" s="92"/>
      <c r="E34" s="92"/>
      <c r="F34" s="93"/>
      <c r="G34" s="90"/>
      <c r="H34" s="428"/>
      <c r="I34" s="56"/>
    </row>
    <row r="35" spans="1:13" ht="15" customHeight="1">
      <c r="A35" s="170" t="s">
        <v>250</v>
      </c>
      <c r="B35" s="429"/>
      <c r="C35" s="429"/>
      <c r="D35" s="429"/>
      <c r="E35" s="429"/>
      <c r="F35" s="429"/>
      <c r="G35" s="429"/>
      <c r="H35" s="429"/>
    </row>
    <row r="36" spans="1:13">
      <c r="A36" s="429"/>
      <c r="B36" s="429"/>
      <c r="C36" s="429"/>
      <c r="D36" s="429"/>
      <c r="E36" s="429"/>
      <c r="F36" s="429"/>
      <c r="G36" s="429"/>
      <c r="H36" s="429"/>
    </row>
    <row r="37" spans="1:13" ht="7.5" customHeight="1"/>
    <row r="38" spans="1:13">
      <c r="A38" s="430" t="s">
        <v>251</v>
      </c>
      <c r="B38" s="431"/>
      <c r="C38" s="434" t="s">
        <v>252</v>
      </c>
      <c r="D38" s="435"/>
      <c r="E38" s="435"/>
      <c r="F38" s="435"/>
      <c r="G38" s="435"/>
      <c r="H38" s="435"/>
      <c r="I38" s="99"/>
      <c r="J38" s="437" t="s">
        <v>253</v>
      </c>
      <c r="K38" s="438"/>
      <c r="L38" s="419" t="s">
        <v>12</v>
      </c>
      <c r="M38" s="420"/>
    </row>
    <row r="39" spans="1:13">
      <c r="A39" s="432"/>
      <c r="B39" s="433"/>
      <c r="C39" s="436"/>
      <c r="D39" s="436"/>
      <c r="E39" s="436"/>
      <c r="F39" s="436"/>
      <c r="G39" s="436"/>
      <c r="H39" s="436"/>
      <c r="I39" s="100"/>
      <c r="J39" s="439">
        <v>308.8</v>
      </c>
      <c r="K39" s="440"/>
      <c r="L39" s="421">
        <f>(H33-C8)/C8</f>
        <v>-0.1106225892343121</v>
      </c>
      <c r="M39" s="422"/>
    </row>
    <row r="100" spans="1:3">
      <c r="A100" s="151" t="s">
        <v>230</v>
      </c>
      <c r="B100" s="151"/>
      <c r="C100" s="418" t="s">
        <v>245</v>
      </c>
    </row>
    <row r="101" spans="1:3">
      <c r="A101" s="151"/>
      <c r="B101" s="151"/>
      <c r="C101" s="418"/>
    </row>
    <row r="102" spans="1:3">
      <c r="A102" s="225" t="s">
        <v>246</v>
      </c>
      <c r="B102" s="226"/>
      <c r="C102" s="87">
        <f>H30</f>
        <v>319.52433333333335</v>
      </c>
    </row>
    <row r="103" spans="1:3">
      <c r="A103" s="225" t="s">
        <v>247</v>
      </c>
      <c r="B103" s="226"/>
      <c r="C103" s="84">
        <f>H31</f>
        <v>238.38819999999998</v>
      </c>
    </row>
    <row r="104" spans="1:3">
      <c r="A104" s="225" t="s">
        <v>248</v>
      </c>
      <c r="B104" s="226"/>
      <c r="C104" s="96">
        <f>H32</f>
        <v>266.00669999999997</v>
      </c>
    </row>
    <row r="105" spans="1:3">
      <c r="A105" s="423" t="s">
        <v>249</v>
      </c>
      <c r="B105" s="424"/>
      <c r="C105" s="427">
        <f>AVERAGE(C102:C104)</f>
        <v>274.63974444444443</v>
      </c>
    </row>
    <row r="106" spans="1:3">
      <c r="A106" s="425"/>
      <c r="B106" s="426"/>
      <c r="C106" s="428"/>
    </row>
    <row r="107" spans="1:3">
      <c r="A107" s="429"/>
      <c r="B107" s="429"/>
      <c r="C107" s="130"/>
    </row>
  </sheetData>
  <mergeCells count="67">
    <mergeCell ref="A107:B107"/>
    <mergeCell ref="C100:C101"/>
    <mergeCell ref="C105:C106"/>
    <mergeCell ref="A100:B101"/>
    <mergeCell ref="A102:B102"/>
    <mergeCell ref="A103:B103"/>
    <mergeCell ref="A104:B104"/>
    <mergeCell ref="A105:B106"/>
    <mergeCell ref="L39:M39"/>
    <mergeCell ref="A32:B32"/>
    <mergeCell ref="A33:B34"/>
    <mergeCell ref="H33:H34"/>
    <mergeCell ref="A35:H36"/>
    <mergeCell ref="A38:B39"/>
    <mergeCell ref="C38:H39"/>
    <mergeCell ref="J38:K38"/>
    <mergeCell ref="J39:K39"/>
    <mergeCell ref="E28:E29"/>
    <mergeCell ref="F28:F29"/>
    <mergeCell ref="G28:G29"/>
    <mergeCell ref="H28:H29"/>
    <mergeCell ref="L38:M38"/>
    <mergeCell ref="A30:B30"/>
    <mergeCell ref="A31:B31"/>
    <mergeCell ref="A28:B29"/>
    <mergeCell ref="C28:C29"/>
    <mergeCell ref="D28:D29"/>
    <mergeCell ref="H23:M24"/>
    <mergeCell ref="A26:E26"/>
    <mergeCell ref="F16:F17"/>
    <mergeCell ref="A20:B20"/>
    <mergeCell ref="A21:B21"/>
    <mergeCell ref="A22:B22"/>
    <mergeCell ref="J26:M26"/>
    <mergeCell ref="A19:B19"/>
    <mergeCell ref="C16:C17"/>
    <mergeCell ref="D16:D17"/>
    <mergeCell ref="A14:E14"/>
    <mergeCell ref="A16:B17"/>
    <mergeCell ref="A18:B18"/>
    <mergeCell ref="E16:E17"/>
    <mergeCell ref="O6:O7"/>
    <mergeCell ref="H14:M14"/>
    <mergeCell ref="K16:K17"/>
    <mergeCell ref="L16:L17"/>
    <mergeCell ref="M16:M17"/>
    <mergeCell ref="H16:H17"/>
    <mergeCell ref="J16:J17"/>
    <mergeCell ref="A12:B12"/>
    <mergeCell ref="A8:B8"/>
    <mergeCell ref="A9:B9"/>
    <mergeCell ref="A10:B10"/>
    <mergeCell ref="A11:B11"/>
    <mergeCell ref="A6:B7"/>
    <mergeCell ref="C6:C7"/>
    <mergeCell ref="A1:M1"/>
    <mergeCell ref="A2:M2"/>
    <mergeCell ref="A4:M4"/>
    <mergeCell ref="A5:B5"/>
    <mergeCell ref="D6:D7"/>
    <mergeCell ref="E6:E7"/>
    <mergeCell ref="F6:F7"/>
    <mergeCell ref="H6:H7"/>
    <mergeCell ref="J6:J7"/>
    <mergeCell ref="K6:K7"/>
    <mergeCell ref="L6:L7"/>
    <mergeCell ref="M6:M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A7D2B-D48B-4490-ACB2-119E6EBE869B}">
  <dimension ref="A1:P105"/>
  <sheetViews>
    <sheetView showGridLines="0" topLeftCell="A10" workbookViewId="0">
      <selection activeCell="K6" sqref="K6:L7"/>
    </sheetView>
  </sheetViews>
  <sheetFormatPr defaultRowHeight="15"/>
  <cols>
    <col min="1" max="1" width="10.140625" customWidth="1"/>
    <col min="3" max="3" width="13.7109375" customWidth="1"/>
    <col min="4" max="4" width="13.42578125" customWidth="1"/>
    <col min="5" max="5" width="12.85546875" customWidth="1"/>
    <col min="6" max="6" width="22" customWidth="1"/>
    <col min="7" max="7" width="21.28515625" customWidth="1"/>
    <col min="8" max="8" width="24.42578125" customWidth="1"/>
    <col min="9" max="9" width="21.7109375" customWidth="1"/>
    <col min="10" max="10" width="15.42578125" customWidth="1"/>
  </cols>
  <sheetData>
    <row r="1" spans="1:16" ht="26.25">
      <c r="A1" s="146" t="s">
        <v>254</v>
      </c>
      <c r="B1" s="146"/>
      <c r="C1" s="146"/>
      <c r="D1" s="146"/>
      <c r="E1" s="146"/>
      <c r="F1" s="146"/>
      <c r="G1" s="146"/>
      <c r="H1" s="146"/>
      <c r="I1" s="146"/>
      <c r="J1" s="146"/>
      <c r="K1" s="146"/>
      <c r="L1" s="146"/>
      <c r="M1" s="146"/>
      <c r="N1" s="146"/>
      <c r="O1" s="146"/>
      <c r="P1" s="146"/>
    </row>
    <row r="2" spans="1:16">
      <c r="A2" s="192" t="s">
        <v>207</v>
      </c>
      <c r="B2" s="192"/>
      <c r="C2" s="192"/>
      <c r="D2" s="192"/>
      <c r="E2" s="192"/>
      <c r="F2" s="192"/>
      <c r="G2" s="192"/>
      <c r="H2" s="192"/>
      <c r="I2" s="192"/>
      <c r="J2" s="192"/>
      <c r="K2" s="192"/>
      <c r="L2" s="192"/>
      <c r="M2" s="192"/>
      <c r="N2" s="192"/>
      <c r="O2" s="192"/>
      <c r="P2" s="192"/>
    </row>
    <row r="3" spans="1:16" ht="8.25" customHeight="1"/>
    <row r="4" spans="1:16" ht="21">
      <c r="A4" s="150" t="s">
        <v>255</v>
      </c>
      <c r="B4" s="150"/>
      <c r="C4" s="150"/>
      <c r="D4" s="150"/>
      <c r="E4" s="150"/>
      <c r="F4" s="150"/>
      <c r="G4" s="150"/>
      <c r="H4" s="150"/>
      <c r="I4" s="150"/>
      <c r="J4" s="150"/>
      <c r="K4" s="150"/>
      <c r="L4" s="1"/>
    </row>
    <row r="5" spans="1:16" ht="6" customHeight="1"/>
    <row r="6" spans="1:16" ht="15" customHeight="1">
      <c r="A6" s="456" t="s">
        <v>256</v>
      </c>
      <c r="B6" s="457"/>
      <c r="C6" s="458" t="s">
        <v>257</v>
      </c>
      <c r="D6" s="458"/>
      <c r="E6" s="459" t="s">
        <v>258</v>
      </c>
      <c r="F6" s="458"/>
      <c r="G6" s="406" t="s">
        <v>259</v>
      </c>
      <c r="H6" s="406"/>
      <c r="I6" s="406" t="s">
        <v>260</v>
      </c>
      <c r="J6" s="406" t="s">
        <v>261</v>
      </c>
      <c r="K6" s="406" t="s">
        <v>262</v>
      </c>
      <c r="L6" s="406"/>
    </row>
    <row r="7" spans="1:16" ht="19.5" customHeight="1">
      <c r="A7" s="457"/>
      <c r="B7" s="457"/>
      <c r="C7" s="458"/>
      <c r="D7" s="458"/>
      <c r="E7" s="459"/>
      <c r="F7" s="458"/>
      <c r="G7" s="406"/>
      <c r="H7" s="406"/>
      <c r="I7" s="406"/>
      <c r="J7" s="406"/>
      <c r="K7" s="406"/>
      <c r="L7" s="406"/>
    </row>
    <row r="8" spans="1:16">
      <c r="A8" s="379">
        <v>45352</v>
      </c>
      <c r="B8" s="261"/>
      <c r="C8" s="460" t="s">
        <v>263</v>
      </c>
      <c r="D8" s="460"/>
      <c r="E8" s="226" t="s">
        <v>264</v>
      </c>
      <c r="F8" s="261"/>
      <c r="G8" s="261" t="s">
        <v>265</v>
      </c>
      <c r="H8" s="261"/>
      <c r="I8" s="47">
        <v>28</v>
      </c>
      <c r="J8" s="47">
        <v>6.7</v>
      </c>
      <c r="K8" s="261">
        <v>31.1</v>
      </c>
      <c r="L8" s="261"/>
    </row>
    <row r="9" spans="1:16">
      <c r="A9" s="379">
        <v>45231</v>
      </c>
      <c r="B9" s="261"/>
      <c r="C9" s="261" t="s">
        <v>266</v>
      </c>
      <c r="D9" s="261"/>
      <c r="E9" s="226" t="s">
        <v>267</v>
      </c>
      <c r="F9" s="261"/>
      <c r="G9" s="261" t="s">
        <v>268</v>
      </c>
      <c r="H9" s="261"/>
      <c r="I9" s="47">
        <v>69</v>
      </c>
      <c r="J9" s="47">
        <v>5.0999999999999996</v>
      </c>
      <c r="K9" s="261">
        <v>20.9</v>
      </c>
      <c r="L9" s="261"/>
    </row>
    <row r="10" spans="1:16">
      <c r="A10" s="379">
        <v>45200</v>
      </c>
      <c r="B10" s="261"/>
      <c r="C10" s="261" t="s">
        <v>269</v>
      </c>
      <c r="D10" s="261"/>
      <c r="E10" s="226" t="s">
        <v>270</v>
      </c>
      <c r="F10" s="261"/>
      <c r="G10" s="261" t="s">
        <v>271</v>
      </c>
      <c r="H10" s="261"/>
      <c r="I10" s="47">
        <v>75.599999999999994</v>
      </c>
      <c r="J10" s="47">
        <v>8.3000000000000007</v>
      </c>
      <c r="K10" s="261">
        <v>21.6</v>
      </c>
      <c r="L10" s="261"/>
    </row>
    <row r="11" spans="1:16">
      <c r="A11" s="379">
        <v>44593</v>
      </c>
      <c r="B11" s="261"/>
      <c r="C11" s="261" t="s">
        <v>272</v>
      </c>
      <c r="D11" s="261"/>
      <c r="E11" s="226" t="s">
        <v>273</v>
      </c>
      <c r="F11" s="261"/>
      <c r="G11" s="261" t="s">
        <v>274</v>
      </c>
      <c r="H11" s="261"/>
      <c r="I11" s="47">
        <v>49</v>
      </c>
      <c r="J11" s="47">
        <v>15.6</v>
      </c>
      <c r="K11" s="261">
        <v>61.8</v>
      </c>
      <c r="L11" s="261"/>
    </row>
    <row r="12" spans="1:16">
      <c r="A12" s="379">
        <v>42614</v>
      </c>
      <c r="B12" s="261"/>
      <c r="C12" s="261" t="s">
        <v>275</v>
      </c>
      <c r="D12" s="261"/>
      <c r="E12" s="226" t="s">
        <v>276</v>
      </c>
      <c r="F12" s="261"/>
      <c r="G12" s="261" t="s">
        <v>277</v>
      </c>
      <c r="H12" s="261"/>
      <c r="I12" s="47">
        <v>67</v>
      </c>
      <c r="J12" s="47">
        <v>2.7</v>
      </c>
      <c r="K12" s="261">
        <v>14.2</v>
      </c>
      <c r="L12" s="261"/>
    </row>
    <row r="14" spans="1:16" ht="21">
      <c r="A14" s="150" t="s">
        <v>278</v>
      </c>
      <c r="B14" s="150"/>
      <c r="C14" s="150"/>
      <c r="D14" s="150"/>
      <c r="E14" s="150"/>
      <c r="F14" s="150"/>
      <c r="G14" s="150"/>
      <c r="H14" s="101"/>
      <c r="I14" s="131" t="s">
        <v>240</v>
      </c>
      <c r="J14" s="466" t="s">
        <v>279</v>
      </c>
      <c r="K14" s="466"/>
      <c r="L14" s="466"/>
      <c r="M14" s="466"/>
      <c r="N14" s="466"/>
      <c r="O14" s="466"/>
      <c r="P14" s="466"/>
    </row>
    <row r="15" spans="1:16" ht="8.25" customHeight="1"/>
    <row r="16" spans="1:16" ht="17.25" customHeight="1">
      <c r="A16" s="335" t="s">
        <v>280</v>
      </c>
      <c r="B16" s="335"/>
      <c r="C16" s="335" t="s">
        <v>231</v>
      </c>
      <c r="D16" s="335"/>
      <c r="E16" s="335" t="s">
        <v>232</v>
      </c>
      <c r="F16" s="335"/>
      <c r="G16" s="82" t="s">
        <v>281</v>
      </c>
      <c r="H16" s="36" t="s">
        <v>234</v>
      </c>
    </row>
    <row r="17" spans="1:9">
      <c r="A17" s="461" t="s">
        <v>282</v>
      </c>
      <c r="B17" s="461"/>
      <c r="C17" s="442">
        <f>AVERAGE(J8:J12)</f>
        <v>7.6800000000000015</v>
      </c>
      <c r="D17" s="266"/>
      <c r="E17" s="442">
        <f>MEDIAN(J8:J12)</f>
        <v>6.7</v>
      </c>
      <c r="F17" s="266"/>
      <c r="G17" s="83">
        <v>15.8</v>
      </c>
      <c r="H17" s="83">
        <v>37.700000000000003</v>
      </c>
    </row>
    <row r="18" spans="1:9">
      <c r="A18" s="462" t="s">
        <v>283</v>
      </c>
      <c r="B18" s="462"/>
      <c r="C18" s="266">
        <f>AVERAGE(K8:L12)</f>
        <v>29.919999999999995</v>
      </c>
      <c r="D18" s="266"/>
      <c r="E18" s="442">
        <f>MEDIAN(K8:L12)</f>
        <v>21.6</v>
      </c>
      <c r="F18" s="266"/>
      <c r="G18" s="83">
        <v>2.7</v>
      </c>
      <c r="H18" s="83">
        <v>12</v>
      </c>
    </row>
    <row r="19" spans="1:9" ht="8.25" customHeight="1"/>
    <row r="20" spans="1:9">
      <c r="A20" s="463" t="s">
        <v>284</v>
      </c>
      <c r="B20" s="181"/>
      <c r="C20" s="181"/>
      <c r="D20" s="181"/>
      <c r="E20" s="181"/>
      <c r="F20" s="181"/>
    </row>
    <row r="21" spans="1:9">
      <c r="A21" s="443" t="s">
        <v>285</v>
      </c>
      <c r="B21" s="181"/>
      <c r="C21" s="181"/>
      <c r="D21" s="181"/>
      <c r="E21" s="181"/>
      <c r="F21" s="181"/>
      <c r="G21" s="181"/>
      <c r="H21" s="181"/>
    </row>
    <row r="23" spans="1:9" ht="23.25">
      <c r="A23" s="464" t="s">
        <v>286</v>
      </c>
      <c r="B23" s="290"/>
      <c r="C23" s="290"/>
      <c r="D23" s="290"/>
      <c r="E23" s="290"/>
      <c r="F23" s="290"/>
      <c r="G23" s="290"/>
      <c r="H23" s="290"/>
      <c r="I23" s="290"/>
    </row>
    <row r="24" spans="1:9" ht="5.25" customHeight="1"/>
    <row r="25" spans="1:9">
      <c r="A25" s="465" t="s">
        <v>230</v>
      </c>
      <c r="B25" s="465"/>
      <c r="C25" s="455" t="s">
        <v>241</v>
      </c>
      <c r="D25" s="177" t="s">
        <v>242</v>
      </c>
      <c r="E25" s="455" t="s">
        <v>243</v>
      </c>
      <c r="F25" s="455" t="s">
        <v>287</v>
      </c>
      <c r="G25" s="455" t="s">
        <v>244</v>
      </c>
      <c r="H25" s="418" t="s">
        <v>211</v>
      </c>
      <c r="I25" s="418" t="s">
        <v>245</v>
      </c>
    </row>
    <row r="26" spans="1:9">
      <c r="A26" s="465"/>
      <c r="B26" s="465"/>
      <c r="C26" s="455"/>
      <c r="D26" s="177"/>
      <c r="E26" s="455"/>
      <c r="F26" s="455"/>
      <c r="G26" s="455"/>
      <c r="H26" s="418"/>
      <c r="I26" s="418"/>
    </row>
    <row r="27" spans="1:9" ht="15" customHeight="1">
      <c r="A27" s="225" t="s">
        <v>246</v>
      </c>
      <c r="B27" s="226"/>
      <c r="C27" s="46">
        <f>C17</f>
        <v>7.6800000000000015</v>
      </c>
      <c r="D27" s="85">
        <v>416.1</v>
      </c>
      <c r="E27" s="86">
        <f>C27*D27</f>
        <v>3195.6480000000006</v>
      </c>
      <c r="F27" s="86">
        <v>54.7</v>
      </c>
      <c r="G27" s="86">
        <f>E27-F27</f>
        <v>3140.9480000000008</v>
      </c>
      <c r="H27" s="86">
        <v>15</v>
      </c>
      <c r="I27" s="87">
        <f>G27/H27</f>
        <v>209.39653333333339</v>
      </c>
    </row>
    <row r="28" spans="1:9">
      <c r="A28" s="225" t="s">
        <v>247</v>
      </c>
      <c r="B28" s="226"/>
      <c r="C28" s="47">
        <f>C18</f>
        <v>29.919999999999995</v>
      </c>
      <c r="D28" s="49">
        <v>144.69999999999999</v>
      </c>
      <c r="E28" s="49">
        <f>C28*D28</f>
        <v>4329.4239999999991</v>
      </c>
      <c r="F28" s="49">
        <v>54.7</v>
      </c>
      <c r="G28" s="84">
        <f>E28-F28</f>
        <v>4274.7239999999993</v>
      </c>
      <c r="H28" s="49">
        <v>15</v>
      </c>
      <c r="I28" s="84">
        <f>G28/H28</f>
        <v>284.98159999999996</v>
      </c>
    </row>
    <row r="29" spans="1:9" ht="15.75" customHeight="1">
      <c r="A29" s="423" t="s">
        <v>249</v>
      </c>
      <c r="B29" s="424"/>
      <c r="C29" s="90"/>
      <c r="D29" s="90"/>
      <c r="E29" s="90"/>
      <c r="F29" s="90"/>
      <c r="G29" s="90"/>
      <c r="H29" s="91"/>
      <c r="I29" s="453">
        <f>AVERAGE(I27:I28)</f>
        <v>247.18906666666669</v>
      </c>
    </row>
    <row r="30" spans="1:9">
      <c r="A30" s="425"/>
      <c r="B30" s="426"/>
      <c r="C30" s="92"/>
      <c r="D30" s="92"/>
      <c r="E30" s="92"/>
      <c r="F30" s="92"/>
      <c r="G30" s="92"/>
      <c r="H30" s="93"/>
      <c r="I30" s="454"/>
    </row>
    <row r="31" spans="1:9" ht="3.75" customHeight="1"/>
    <row r="32" spans="1:9">
      <c r="A32" s="443" t="s">
        <v>288</v>
      </c>
      <c r="B32" s="181"/>
      <c r="C32" s="181"/>
      <c r="D32" s="181"/>
      <c r="E32" s="181"/>
      <c r="F32" s="181"/>
    </row>
    <row r="33" spans="1:12">
      <c r="A33" s="443" t="s">
        <v>289</v>
      </c>
      <c r="B33" s="181"/>
      <c r="C33" s="181"/>
      <c r="D33" s="181"/>
      <c r="E33" s="181"/>
    </row>
    <row r="34" spans="1:12" ht="8.25" customHeight="1"/>
    <row r="35" spans="1:12" ht="16.5" customHeight="1">
      <c r="A35" s="430" t="s">
        <v>251</v>
      </c>
      <c r="B35" s="444"/>
      <c r="C35" s="446" t="s">
        <v>290</v>
      </c>
      <c r="D35" s="447"/>
      <c r="E35" s="447"/>
      <c r="F35" s="447"/>
      <c r="G35" s="447"/>
      <c r="H35" s="447"/>
      <c r="I35" s="419" t="s">
        <v>253</v>
      </c>
      <c r="J35" s="450"/>
      <c r="K35" s="437" t="s">
        <v>12</v>
      </c>
      <c r="L35" s="420"/>
    </row>
    <row r="36" spans="1:12">
      <c r="A36" s="432"/>
      <c r="B36" s="445"/>
      <c r="C36" s="448"/>
      <c r="D36" s="449"/>
      <c r="E36" s="449"/>
      <c r="F36" s="449"/>
      <c r="G36" s="449"/>
      <c r="H36" s="449"/>
      <c r="I36" s="451">
        <v>308.8</v>
      </c>
      <c r="J36" s="452"/>
      <c r="K36" s="441">
        <f>(I29-I36)/I36</f>
        <v>-0.19951727115716747</v>
      </c>
      <c r="L36" s="422"/>
    </row>
    <row r="100" spans="1:3">
      <c r="A100" s="465" t="s">
        <v>230</v>
      </c>
      <c r="B100" s="465"/>
      <c r="C100" s="418" t="s">
        <v>245</v>
      </c>
    </row>
    <row r="101" spans="1:3">
      <c r="A101" s="465"/>
      <c r="B101" s="465"/>
      <c r="C101" s="418"/>
    </row>
    <row r="102" spans="1:3">
      <c r="A102" s="225" t="s">
        <v>246</v>
      </c>
      <c r="B102" s="226"/>
      <c r="C102" s="87">
        <f>I27</f>
        <v>209.39653333333339</v>
      </c>
    </row>
    <row r="103" spans="1:3">
      <c r="A103" s="225" t="s">
        <v>247</v>
      </c>
      <c r="B103" s="226"/>
      <c r="C103" s="84">
        <f>I28</f>
        <v>284.98159999999996</v>
      </c>
    </row>
    <row r="104" spans="1:3">
      <c r="A104" s="423" t="s">
        <v>249</v>
      </c>
      <c r="B104" s="424"/>
      <c r="C104" s="453">
        <f>I29</f>
        <v>247.18906666666669</v>
      </c>
    </row>
    <row r="105" spans="1:3">
      <c r="A105" s="425"/>
      <c r="B105" s="426"/>
      <c r="C105" s="454"/>
    </row>
  </sheetData>
  <mergeCells count="75">
    <mergeCell ref="J14:P14"/>
    <mergeCell ref="A1:P1"/>
    <mergeCell ref="A100:B101"/>
    <mergeCell ref="A102:B102"/>
    <mergeCell ref="A103:B103"/>
    <mergeCell ref="E16:F16"/>
    <mergeCell ref="A14:G14"/>
    <mergeCell ref="K8:L8"/>
    <mergeCell ref="K9:L9"/>
    <mergeCell ref="K10:L10"/>
    <mergeCell ref="K11:L11"/>
    <mergeCell ref="K12:L12"/>
    <mergeCell ref="G9:H9"/>
    <mergeCell ref="G8:H8"/>
    <mergeCell ref="A12:B12"/>
    <mergeCell ref="C12:D12"/>
    <mergeCell ref="A104:B105"/>
    <mergeCell ref="C100:C101"/>
    <mergeCell ref="C104:C105"/>
    <mergeCell ref="A16:B16"/>
    <mergeCell ref="C16:D16"/>
    <mergeCell ref="A17:B17"/>
    <mergeCell ref="A18:B18"/>
    <mergeCell ref="A29:B30"/>
    <mergeCell ref="A20:F20"/>
    <mergeCell ref="A21:H21"/>
    <mergeCell ref="A23:I23"/>
    <mergeCell ref="A25:B26"/>
    <mergeCell ref="C25:C26"/>
    <mergeCell ref="D25:D26"/>
    <mergeCell ref="E25:E26"/>
    <mergeCell ref="F25:F26"/>
    <mergeCell ref="C11:D11"/>
    <mergeCell ref="C10:D10"/>
    <mergeCell ref="C9:D9"/>
    <mergeCell ref="C8:D8"/>
    <mergeCell ref="A11:B11"/>
    <mergeCell ref="A8:B8"/>
    <mergeCell ref="A9:B9"/>
    <mergeCell ref="A10:B10"/>
    <mergeCell ref="A4:K4"/>
    <mergeCell ref="A6:B7"/>
    <mergeCell ref="C6:D7"/>
    <mergeCell ref="E6:F7"/>
    <mergeCell ref="G6:H7"/>
    <mergeCell ref="K6:L7"/>
    <mergeCell ref="I6:I7"/>
    <mergeCell ref="J6:J7"/>
    <mergeCell ref="I25:I26"/>
    <mergeCell ref="I29:I30"/>
    <mergeCell ref="G25:G26"/>
    <mergeCell ref="E8:F8"/>
    <mergeCell ref="E9:F9"/>
    <mergeCell ref="E10:F10"/>
    <mergeCell ref="E11:F11"/>
    <mergeCell ref="E12:F12"/>
    <mergeCell ref="G12:H12"/>
    <mergeCell ref="G11:H11"/>
    <mergeCell ref="G10:H10"/>
    <mergeCell ref="H25:H26"/>
    <mergeCell ref="K35:L35"/>
    <mergeCell ref="A2:P2"/>
    <mergeCell ref="K36:L36"/>
    <mergeCell ref="C17:D17"/>
    <mergeCell ref="E17:F17"/>
    <mergeCell ref="E18:F18"/>
    <mergeCell ref="C18:D18"/>
    <mergeCell ref="A32:F32"/>
    <mergeCell ref="A33:E33"/>
    <mergeCell ref="A35:B36"/>
    <mergeCell ref="C35:H36"/>
    <mergeCell ref="I35:J35"/>
    <mergeCell ref="I36:J36"/>
    <mergeCell ref="A27:B27"/>
    <mergeCell ref="A28:B2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38981-714E-40C0-9CEA-596D4BBB2ACF}">
  <dimension ref="A1:P27"/>
  <sheetViews>
    <sheetView showGridLines="0" workbookViewId="0">
      <selection activeCell="L26" sqref="L26:N27"/>
    </sheetView>
  </sheetViews>
  <sheetFormatPr defaultRowHeight="15"/>
  <cols>
    <col min="1" max="1" width="1.7109375" customWidth="1"/>
    <col min="2" max="2" width="11.5703125" customWidth="1"/>
    <col min="3" max="3" width="12.5703125" customWidth="1"/>
    <col min="4" max="4" width="13.42578125" customWidth="1"/>
    <col min="5" max="5" width="12.85546875" customWidth="1"/>
    <col min="6" max="6" width="5.5703125" customWidth="1"/>
    <col min="7" max="7" width="12.140625" customWidth="1"/>
    <col min="8" max="8" width="12.85546875" customWidth="1"/>
    <col min="9" max="9" width="24" customWidth="1"/>
    <col min="10" max="10" width="12.85546875" customWidth="1"/>
    <col min="11" max="11" width="13.28515625" customWidth="1"/>
    <col min="12" max="12" width="15.5703125" customWidth="1"/>
    <col min="13" max="13" width="17.140625" customWidth="1"/>
    <col min="14" max="14" width="13.28515625" customWidth="1"/>
  </cols>
  <sheetData>
    <row r="1" spans="1:16" ht="26.25">
      <c r="A1" s="1"/>
      <c r="B1" s="146" t="s">
        <v>291</v>
      </c>
      <c r="C1" s="146"/>
      <c r="D1" s="146"/>
      <c r="E1" s="146"/>
      <c r="F1" s="146"/>
      <c r="G1" s="146"/>
      <c r="H1" s="146"/>
      <c r="I1" s="146"/>
      <c r="J1" s="146"/>
      <c r="K1" s="146"/>
      <c r="L1" s="146"/>
      <c r="M1" s="146"/>
      <c r="N1" s="1"/>
    </row>
    <row r="2" spans="1:16" ht="6" customHeight="1"/>
    <row r="3" spans="1:16" ht="21">
      <c r="B3" s="147" t="s">
        <v>292</v>
      </c>
      <c r="C3" s="148"/>
      <c r="D3" s="148"/>
      <c r="E3" s="149"/>
      <c r="F3" s="102"/>
      <c r="G3" s="150" t="s">
        <v>293</v>
      </c>
      <c r="H3" s="150"/>
      <c r="I3" s="150"/>
      <c r="J3" s="150"/>
      <c r="K3" s="150"/>
      <c r="L3" s="150"/>
      <c r="M3" s="150"/>
      <c r="N3" s="1"/>
    </row>
    <row r="4" spans="1:16" s="53" customFormat="1" ht="6.75" customHeight="1">
      <c r="B4" s="106"/>
      <c r="C4" s="102"/>
      <c r="D4" s="102"/>
      <c r="E4" s="107"/>
      <c r="F4" s="102"/>
      <c r="G4" s="102"/>
      <c r="H4" s="102"/>
      <c r="I4" s="102"/>
      <c r="J4" s="102"/>
      <c r="K4" s="102"/>
      <c r="L4" s="102"/>
      <c r="M4" s="102"/>
    </row>
    <row r="5" spans="1:16" ht="15" customHeight="1">
      <c r="B5" s="169" t="s">
        <v>294</v>
      </c>
      <c r="C5" s="170"/>
      <c r="D5" s="170"/>
      <c r="E5" s="171"/>
      <c r="G5" s="151" t="s">
        <v>295</v>
      </c>
      <c r="H5" s="151"/>
      <c r="I5" s="152" t="s">
        <v>296</v>
      </c>
      <c r="J5" s="153" t="s">
        <v>297</v>
      </c>
      <c r="K5" s="154" t="s">
        <v>146</v>
      </c>
      <c r="L5" s="157" t="s">
        <v>298</v>
      </c>
      <c r="M5" s="153" t="s">
        <v>299</v>
      </c>
      <c r="N5" s="177" t="s">
        <v>300</v>
      </c>
    </row>
    <row r="6" spans="1:16" ht="20.25" customHeight="1">
      <c r="B6" s="169"/>
      <c r="C6" s="170"/>
      <c r="D6" s="170"/>
      <c r="E6" s="171"/>
      <c r="G6" s="151"/>
      <c r="H6" s="151"/>
      <c r="I6" s="152"/>
      <c r="J6" s="153"/>
      <c r="K6" s="154"/>
      <c r="L6" s="157"/>
      <c r="M6" s="158"/>
      <c r="N6" s="178"/>
    </row>
    <row r="7" spans="1:16" ht="22.5" customHeight="1">
      <c r="B7" s="169"/>
      <c r="C7" s="170"/>
      <c r="D7" s="170"/>
      <c r="E7" s="171"/>
      <c r="G7" s="182" t="s">
        <v>301</v>
      </c>
      <c r="H7" s="183"/>
      <c r="I7" s="155">
        <v>7.0000000000000007E-2</v>
      </c>
      <c r="J7" s="155">
        <v>0.34</v>
      </c>
      <c r="K7" s="155">
        <v>7.4999999999999997E-2</v>
      </c>
      <c r="L7" s="155">
        <v>3.5000000000000003E-2</v>
      </c>
      <c r="M7" s="156">
        <v>270</v>
      </c>
      <c r="N7" s="155">
        <v>-0.12559999999999999</v>
      </c>
    </row>
    <row r="8" spans="1:16" ht="20.25" customHeight="1">
      <c r="B8" s="169"/>
      <c r="C8" s="170"/>
      <c r="D8" s="170"/>
      <c r="E8" s="171"/>
      <c r="G8" s="161"/>
      <c r="H8" s="162"/>
      <c r="I8" s="155"/>
      <c r="J8" s="155"/>
      <c r="K8" s="155"/>
      <c r="L8" s="155"/>
      <c r="M8" s="156"/>
      <c r="N8" s="155"/>
    </row>
    <row r="9" spans="1:16" ht="2.25" hidden="1" customHeight="1">
      <c r="B9" s="169"/>
      <c r="C9" s="170"/>
      <c r="D9" s="170"/>
      <c r="E9" s="171"/>
      <c r="G9" s="103"/>
      <c r="H9" s="103"/>
      <c r="I9" s="103"/>
      <c r="J9" s="103"/>
      <c r="K9" s="103"/>
      <c r="L9" s="103"/>
      <c r="M9" s="103"/>
      <c r="N9" s="103"/>
    </row>
    <row r="10" spans="1:16" ht="19.5" customHeight="1">
      <c r="B10" s="169"/>
      <c r="C10" s="170"/>
      <c r="D10" s="170"/>
      <c r="E10" s="171"/>
      <c r="G10" s="159" t="s">
        <v>153</v>
      </c>
      <c r="H10" s="160"/>
      <c r="I10" s="155">
        <v>0.05</v>
      </c>
      <c r="J10" s="155">
        <v>0.32</v>
      </c>
      <c r="K10" s="155">
        <v>0.08</v>
      </c>
      <c r="L10" s="155">
        <v>0.03</v>
      </c>
      <c r="M10" s="156">
        <v>195</v>
      </c>
      <c r="N10" s="155">
        <v>-0.36849999999999999</v>
      </c>
    </row>
    <row r="11" spans="1:16" ht="28.5" customHeight="1">
      <c r="B11" s="169"/>
      <c r="C11" s="170"/>
      <c r="D11" s="170"/>
      <c r="E11" s="171"/>
      <c r="G11" s="161"/>
      <c r="H11" s="162"/>
      <c r="I11" s="155"/>
      <c r="J11" s="155"/>
      <c r="K11" s="155"/>
      <c r="L11" s="155"/>
      <c r="M11" s="156"/>
      <c r="N11" s="155"/>
    </row>
    <row r="12" spans="1:16" ht="19.5" customHeight="1">
      <c r="B12" s="169"/>
      <c r="C12" s="170"/>
      <c r="D12" s="170"/>
      <c r="E12" s="171"/>
      <c r="G12" s="184" t="s">
        <v>154</v>
      </c>
      <c r="H12" s="184"/>
      <c r="I12" s="155">
        <v>0.03</v>
      </c>
      <c r="J12" s="155">
        <v>0.3</v>
      </c>
      <c r="K12" s="155">
        <v>8.5000000000000006E-2</v>
      </c>
      <c r="L12" s="155">
        <v>2.5000000000000001E-2</v>
      </c>
      <c r="M12" s="156">
        <v>140</v>
      </c>
      <c r="N12" s="155">
        <v>-0.54600000000000004</v>
      </c>
    </row>
    <row r="13" spans="1:16" ht="18" customHeight="1">
      <c r="B13" s="169"/>
      <c r="C13" s="170"/>
      <c r="D13" s="170"/>
      <c r="E13" s="171"/>
      <c r="G13" s="184"/>
      <c r="H13" s="184"/>
      <c r="I13" s="155"/>
      <c r="J13" s="155"/>
      <c r="K13" s="155"/>
      <c r="L13" s="155"/>
      <c r="M13" s="156"/>
      <c r="N13" s="155"/>
      <c r="P13" s="21"/>
    </row>
    <row r="14" spans="1:16" ht="19.5" customHeight="1">
      <c r="B14" s="169"/>
      <c r="C14" s="170"/>
      <c r="D14" s="170"/>
      <c r="E14" s="171"/>
    </row>
    <row r="15" spans="1:16" ht="30" customHeight="1">
      <c r="B15" s="169"/>
      <c r="C15" s="170"/>
      <c r="D15" s="170"/>
      <c r="E15" s="171"/>
      <c r="G15" s="180" t="s">
        <v>302</v>
      </c>
      <c r="H15" s="181"/>
      <c r="I15" s="181"/>
      <c r="J15" s="181"/>
    </row>
    <row r="16" spans="1:16" ht="17.25" customHeight="1">
      <c r="B16" s="169"/>
      <c r="C16" s="170"/>
      <c r="D16" s="170"/>
      <c r="E16" s="171"/>
    </row>
    <row r="17" spans="1:14" ht="24" customHeight="1">
      <c r="B17" s="169"/>
      <c r="C17" s="170"/>
      <c r="D17" s="170"/>
      <c r="E17" s="171"/>
      <c r="G17" s="179" t="s">
        <v>303</v>
      </c>
      <c r="H17" s="179"/>
      <c r="I17" s="179"/>
      <c r="J17" s="179"/>
      <c r="K17" s="179"/>
      <c r="L17" s="179"/>
      <c r="M17" s="179"/>
      <c r="N17" s="179"/>
    </row>
    <row r="18" spans="1:14" ht="15" customHeight="1">
      <c r="B18" s="172"/>
      <c r="C18" s="173"/>
      <c r="D18" s="173"/>
      <c r="E18" s="174"/>
      <c r="G18" s="168" t="s">
        <v>304</v>
      </c>
      <c r="H18" s="168"/>
      <c r="I18" s="168"/>
      <c r="J18" s="168"/>
      <c r="K18" s="168"/>
      <c r="L18" s="168"/>
      <c r="M18" s="168"/>
      <c r="N18" s="168"/>
    </row>
    <row r="19" spans="1:14" ht="15" customHeight="1">
      <c r="B19" s="105"/>
      <c r="C19" s="105"/>
      <c r="D19" s="105"/>
      <c r="E19" s="105"/>
      <c r="G19" s="168"/>
      <c r="H19" s="168"/>
      <c r="I19" s="168"/>
      <c r="J19" s="168"/>
      <c r="K19" s="168"/>
      <c r="L19" s="168"/>
      <c r="M19" s="168"/>
      <c r="N19" s="168"/>
    </row>
    <row r="20" spans="1:14" ht="15" customHeight="1">
      <c r="B20" s="105"/>
      <c r="C20" s="105"/>
      <c r="D20" s="105"/>
      <c r="E20" s="105"/>
      <c r="G20" s="168"/>
      <c r="H20" s="168"/>
      <c r="I20" s="168"/>
      <c r="J20" s="168"/>
      <c r="K20" s="168"/>
      <c r="L20" s="168"/>
      <c r="M20" s="168"/>
      <c r="N20" s="168"/>
    </row>
    <row r="21" spans="1:14" ht="15" customHeight="1">
      <c r="B21" s="105"/>
      <c r="C21" s="105"/>
      <c r="D21" s="105"/>
      <c r="E21" s="105"/>
      <c r="G21" s="168"/>
      <c r="H21" s="168"/>
      <c r="I21" s="168"/>
      <c r="J21" s="168"/>
      <c r="K21" s="168"/>
      <c r="L21" s="168"/>
      <c r="M21" s="168"/>
      <c r="N21" s="168"/>
    </row>
    <row r="22" spans="1:14" ht="15" customHeight="1">
      <c r="B22" s="105"/>
      <c r="C22" s="105"/>
      <c r="D22" s="105"/>
      <c r="E22" s="105"/>
      <c r="G22" s="168"/>
      <c r="H22" s="168"/>
      <c r="I22" s="168"/>
      <c r="J22" s="168"/>
      <c r="K22" s="168"/>
      <c r="L22" s="168"/>
      <c r="M22" s="168"/>
      <c r="N22" s="168"/>
    </row>
    <row r="23" spans="1:14" ht="15" customHeight="1">
      <c r="B23" s="105"/>
      <c r="C23" s="105"/>
      <c r="D23" s="105"/>
      <c r="E23" s="105"/>
      <c r="G23" s="104"/>
      <c r="H23" s="104"/>
      <c r="I23" s="104"/>
      <c r="J23" s="104"/>
      <c r="K23" s="104"/>
      <c r="L23" s="104"/>
      <c r="M23" s="104"/>
      <c r="N23" s="104"/>
    </row>
    <row r="24" spans="1:14" ht="26.25" customHeight="1">
      <c r="A24" s="108"/>
      <c r="B24" s="175" t="s">
        <v>305</v>
      </c>
      <c r="C24" s="176"/>
      <c r="D24" s="176"/>
      <c r="E24" s="176"/>
      <c r="F24" s="176"/>
      <c r="G24" s="176"/>
      <c r="H24" s="176"/>
      <c r="I24" s="176"/>
      <c r="J24" s="176"/>
      <c r="K24" s="176"/>
      <c r="L24" s="176"/>
      <c r="M24" s="176"/>
      <c r="N24" s="176"/>
    </row>
    <row r="25" spans="1:14" ht="21" customHeight="1">
      <c r="B25" s="163" t="s">
        <v>306</v>
      </c>
      <c r="C25" s="164"/>
      <c r="D25" s="164"/>
      <c r="E25" s="164"/>
      <c r="F25" s="164"/>
      <c r="G25" s="164"/>
      <c r="H25" s="164"/>
      <c r="I25" s="164"/>
      <c r="J25" s="164"/>
      <c r="K25" s="164"/>
      <c r="L25" s="165" t="s">
        <v>307</v>
      </c>
      <c r="M25" s="165"/>
      <c r="N25" s="165"/>
    </row>
    <row r="26" spans="1:14" ht="15.75" customHeight="1">
      <c r="B26" s="164"/>
      <c r="C26" s="164"/>
      <c r="D26" s="164"/>
      <c r="E26" s="164"/>
      <c r="F26" s="164"/>
      <c r="G26" s="164"/>
      <c r="H26" s="164"/>
      <c r="I26" s="164"/>
      <c r="J26" s="164"/>
      <c r="K26" s="164"/>
      <c r="L26" s="166" t="s">
        <v>308</v>
      </c>
      <c r="M26" s="167"/>
      <c r="N26" s="167"/>
    </row>
    <row r="27" spans="1:14" ht="18" customHeight="1">
      <c r="B27" s="164"/>
      <c r="C27" s="164"/>
      <c r="D27" s="164"/>
      <c r="E27" s="164"/>
      <c r="F27" s="164"/>
      <c r="G27" s="164"/>
      <c r="H27" s="164"/>
      <c r="I27" s="164"/>
      <c r="J27" s="164"/>
      <c r="K27" s="164"/>
      <c r="L27" s="167"/>
      <c r="M27" s="167"/>
      <c r="N27" s="167"/>
    </row>
  </sheetData>
  <mergeCells count="39">
    <mergeCell ref="B25:K27"/>
    <mergeCell ref="L25:N25"/>
    <mergeCell ref="L26:N27"/>
    <mergeCell ref="G18:N22"/>
    <mergeCell ref="B5:E18"/>
    <mergeCell ref="B24:N24"/>
    <mergeCell ref="N5:N6"/>
    <mergeCell ref="N7:N8"/>
    <mergeCell ref="N10:N11"/>
    <mergeCell ref="N12:N13"/>
    <mergeCell ref="G17:N17"/>
    <mergeCell ref="I10:I11"/>
    <mergeCell ref="I12:I13"/>
    <mergeCell ref="G15:J15"/>
    <mergeCell ref="G7:H8"/>
    <mergeCell ref="G12:H13"/>
    <mergeCell ref="G10:H11"/>
    <mergeCell ref="M10:M11"/>
    <mergeCell ref="L10:L11"/>
    <mergeCell ref="K10:K11"/>
    <mergeCell ref="J10:J11"/>
    <mergeCell ref="J12:J13"/>
    <mergeCell ref="K12:K13"/>
    <mergeCell ref="L12:L13"/>
    <mergeCell ref="M12:M13"/>
    <mergeCell ref="L5:L6"/>
    <mergeCell ref="M5:M6"/>
    <mergeCell ref="I7:I8"/>
    <mergeCell ref="J7:J8"/>
    <mergeCell ref="K7:K8"/>
    <mergeCell ref="L7:L8"/>
    <mergeCell ref="M7:M8"/>
    <mergeCell ref="B1:M1"/>
    <mergeCell ref="B3:E3"/>
    <mergeCell ref="G3:M3"/>
    <mergeCell ref="G5:H6"/>
    <mergeCell ref="I5:I6"/>
    <mergeCell ref="J5:J6"/>
    <mergeCell ref="K5: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2026-05-24T05:55:01Z</dcterms:created>
  <dcterms:modified xsi:type="dcterms:W3CDTF">2026-06-30T19:24:38Z</dcterms:modified>
  <cp:category/>
  <cp:contentStatus/>
</cp:coreProperties>
</file>